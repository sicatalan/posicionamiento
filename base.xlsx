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6237" documentId="11_AD4D2F04E46CFB4ACB3E200E4DD7FD88683EDF28" xr6:coauthVersionLast="47" xr6:coauthVersionMax="47" xr10:uidLastSave="{FFDAE5BC-53FC-4039-9DF2-AA49113F4F14}"/>
  <bookViews>
    <workbookView xWindow="-110" yWindow="-110" windowWidth="19420" windowHeight="11500" xr2:uid="{00000000-000D-0000-FFFF-FFFF00000000}"/>
  </bookViews>
  <sheets>
    <sheet name="base" sheetId="5" r:id="rId1"/>
    <sheet name="Hoja1" sheetId="1" state="hidden" r:id="rId2"/>
  </sheets>
  <externalReferences>
    <externalReference r:id="rId3"/>
  </externalReferences>
  <definedNames>
    <definedName name="_xlnm._FilterDatabase" localSheetId="0" hidden="1">base!$A$1:$L$1187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87" i="5" l="1"/>
  <c r="H1186" i="5"/>
  <c r="I850" i="5"/>
  <c r="H1185" i="5"/>
  <c r="I1185" i="5"/>
  <c r="I1184" i="5"/>
  <c r="H1183" i="5"/>
  <c r="I1183" i="5"/>
  <c r="I1182" i="5"/>
  <c r="I1181" i="5"/>
  <c r="H750" i="5"/>
  <c r="I1180" i="5"/>
  <c r="I1179" i="5"/>
  <c r="I1178" i="5"/>
  <c r="I1177" i="5"/>
  <c r="H1176" i="5"/>
  <c r="I1176" i="5"/>
  <c r="H1175" i="5"/>
  <c r="I1175" i="5" s="1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849" i="5"/>
  <c r="I1153" i="5"/>
  <c r="I1152" i="5"/>
  <c r="I1151" i="5"/>
  <c r="I1150" i="5"/>
  <c r="I1149" i="5"/>
  <c r="I1148" i="5"/>
  <c r="I1147" i="5"/>
  <c r="I1146" i="5"/>
  <c r="I1145" i="5"/>
  <c r="I1144" i="5"/>
  <c r="I1143" i="5"/>
  <c r="I1142" i="5"/>
  <c r="I1141" i="5"/>
  <c r="I1140" i="5"/>
  <c r="I1139" i="5"/>
  <c r="H1138" i="5"/>
  <c r="I1138" i="5" s="1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25" i="5"/>
  <c r="I1186" i="5" l="1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 s="1"/>
  <c r="H1098" i="5"/>
  <c r="I1098" i="5" s="1"/>
  <c r="H1097" i="5"/>
  <c r="I1097" i="5" s="1"/>
  <c r="H1096" i="5"/>
  <c r="I1096" i="5" s="1"/>
  <c r="H1095" i="5"/>
  <c r="I1095" i="5" s="1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 s="1"/>
  <c r="H1010" i="5"/>
  <c r="I1010" i="5" s="1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 s="1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 s="1"/>
  <c r="H642" i="5"/>
  <c r="I642" i="5" s="1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 s="1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 s="1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<sst xmlns="http://schemas.openxmlformats.org/spreadsheetml/2006/main" count="5076" uniqueCount="1264">
  <si>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</si>
  <si>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</si>
  <si>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</si>
  <si>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</si>
  <si>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</si>
  <si>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</si>
  <si>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</si>
  <si>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</si>
  <si>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</si>
  <si>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</si>
  <si>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</si>
  <si>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</si>
  <si>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</si>
  <si>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</si>
  <si>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</si>
  <si>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</si>
  <si>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</si>
  <si>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</si>
  <si>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</si>
  <si>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</si>
  <si>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</si>
  <si>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</si>
  <si>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</si>
  <si>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</si>
  <si>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</si>
  <si>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</si>
  <si>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</si>
  <si>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</si>
  <si>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</si>
  <si>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</si>
  <si>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</si>
  <si>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</si>
  <si>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</si>
  <si>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</si>
  <si>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</si>
  <si>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</si>
  <si>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</si>
  <si>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</si>
  <si>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</si>
  <si>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</si>
  <si>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</si>
  <si>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</si>
  <si>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</si>
  <si>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</si>
  <si>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</si>
  <si>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</si>
  <si>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</si>
  <si>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</si>
  <si>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</si>
  <si>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</si>
  <si>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</si>
  <si>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</si>
  <si>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</si>
  <si>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</si>
  <si>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</si>
  <si>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</si>
  <si>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</si>
  <si>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</si>
  <si>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</si>
  <si>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</si>
  <si>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</si>
  <si>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</si>
  <si>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</si>
  <si>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</si>
  <si>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</si>
  <si>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</si>
  <si>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</si>
  <si>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</si>
  <si>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</si>
  <si>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</si>
  <si>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</si>
  <si>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</si>
  <si>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</si>
  <si>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</si>
  <si>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</si>
  <si>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</si>
  <si>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</si>
  <si>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</si>
  <si>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</si>
  <si>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</si>
  <si>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</si>
  <si>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</si>
  <si>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</si>
  <si>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</si>
  <si>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</si>
  <si>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</si>
  <si>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</si>
  <si>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</si>
  <si>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</si>
  <si>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</si>
  <si>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</si>
  <si>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</si>
  <si>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</si>
  <si>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</si>
  <si>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</si>
  <si>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</si>
  <si>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</si>
  <si>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</si>
  <si>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</si>
  <si>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</si>
  <si>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</si>
  <si>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</si>
  <si>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</si>
  <si>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</si>
  <si>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</si>
  <si>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</si>
  <si>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</si>
  <si>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</si>
  <si>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</si>
  <si>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</si>
  <si>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</si>
  <si>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</si>
  <si>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</si>
  <si>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</si>
  <si>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</si>
  <si>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</si>
  <si>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</si>
  <si>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</si>
  <si>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</si>
  <si>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</si>
  <si>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</si>
  <si>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</si>
  <si>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</si>
  <si>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</si>
  <si>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</si>
  <si>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</si>
  <si>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</si>
  <si>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</si>
  <si>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</si>
  <si>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</si>
  <si>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</si>
  <si>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</si>
  <si>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</si>
  <si>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</si>
  <si>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</si>
  <si>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</si>
  <si>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</si>
  <si>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</si>
  <si>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</si>
  <si>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</si>
  <si>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</si>
  <si>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</si>
  <si>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</si>
  <si>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</si>
  <si>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</si>
  <si>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</si>
  <si>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</si>
  <si>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</si>
  <si>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</si>
  <si>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</si>
  <si>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</si>
  <si>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</si>
  <si>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</si>
  <si>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</si>
  <si>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</si>
  <si>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</si>
  <si>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</si>
  <si>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</si>
  <si>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</si>
  <si>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</si>
  <si>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</si>
  <si>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</si>
  <si>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</si>
  <si>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</si>
  <si>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</si>
  <si>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</si>
  <si>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</si>
  <si>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</si>
  <si>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</si>
  <si>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</si>
  <si>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</si>
  <si>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</si>
  <si>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</si>
  <si>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</si>
  <si>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</si>
  <si>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</si>
  <si>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</si>
  <si>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</si>
  <si>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</si>
  <si>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</si>
  <si>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</si>
  <si>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</si>
  <si>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</si>
  <si>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</si>
  <si>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</si>
  <si>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</si>
  <si>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</si>
  <si>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</si>
  <si>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</si>
  <si>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</si>
  <si>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</si>
  <si>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</si>
  <si>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</si>
  <si>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</si>
  <si>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</si>
  <si>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</si>
  <si>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</si>
  <si>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</si>
  <si>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</si>
  <si>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</si>
  <si>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</si>
  <si>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</si>
  <si>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</si>
  <si>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</si>
  <si>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</si>
  <si>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</si>
  <si>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</si>
  <si>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</si>
  <si>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</si>
  <si>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</si>
  <si>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</si>
  <si>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</si>
  <si>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</si>
  <si>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</si>
  <si>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</si>
  <si>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</si>
  <si>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</si>
  <si>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</si>
  <si>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</si>
  <si>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</si>
  <si>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</si>
  <si>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</si>
  <si>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</si>
  <si>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</si>
  <si>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</si>
  <si>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</si>
  <si>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</si>
  <si>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</si>
  <si>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</si>
  <si>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</si>
  <si>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</si>
  <si>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</si>
  <si>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</si>
  <si>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</si>
  <si>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</si>
  <si>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</si>
  <si>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</si>
  <si>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</si>
  <si>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</si>
  <si>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</si>
  <si>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</si>
  <si>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</si>
  <si>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</si>
  <si>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</si>
  <si>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</si>
  <si>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</si>
  <si>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</si>
  <si>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</si>
  <si>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</si>
  <si>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</si>
  <si>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</si>
  <si>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</si>
  <si>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</si>
  <si>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</si>
  <si>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</si>
  <si>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</si>
  <si>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</si>
  <si>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</si>
  <si>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</si>
  <si>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</si>
  <si>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</si>
  <si>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</si>
  <si>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</si>
  <si>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</si>
  <si>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</si>
  <si>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</si>
  <si>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</si>
  <si>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</si>
  <si>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</si>
  <si>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</si>
  <si>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</si>
  <si>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</si>
  <si>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</si>
  <si>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</si>
  <si>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</si>
  <si>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</si>
  <si>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</si>
  <si>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</si>
  <si>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</si>
  <si>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</si>
  <si>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</si>
  <si>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</si>
  <si>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</si>
  <si>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</si>
  <si>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</si>
  <si>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</si>
  <si>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</si>
  <si>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</si>
  <si>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</si>
  <si>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</si>
  <si>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</si>
  <si>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</si>
  <si>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</si>
  <si>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</si>
  <si>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</si>
  <si>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</si>
  <si>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</si>
  <si>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</si>
  <si>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</si>
  <si>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</si>
  <si>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</si>
  <si>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</si>
  <si>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</si>
  <si>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</si>
  <si>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</si>
  <si>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</si>
  <si>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</si>
  <si>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</si>
  <si>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</si>
  <si>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</si>
  <si>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</si>
  <si>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</si>
  <si>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</si>
  <si>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</si>
  <si>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</si>
  <si>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</si>
  <si>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</si>
  <si>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</si>
  <si>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</si>
  <si>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</si>
  <si>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</si>
  <si>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</si>
  <si>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</si>
  <si>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</si>
  <si>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</si>
  <si>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</si>
  <si>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</si>
  <si>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</si>
  <si>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</si>
  <si>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</si>
  <si>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</si>
  <si>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</si>
  <si>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</si>
  <si>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</si>
  <si>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</si>
  <si>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</si>
  <si>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</si>
  <si>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</si>
  <si>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</si>
  <si>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</si>
  <si>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</si>
  <si>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</si>
  <si>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</si>
  <si>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</si>
  <si>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</si>
  <si>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</si>
  <si>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</si>
  <si>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</si>
  <si>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</si>
  <si>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</si>
  <si>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</si>
  <si>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</si>
  <si>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</si>
  <si>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</si>
  <si>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</si>
  <si>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</si>
  <si>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</si>
  <si>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</si>
  <si>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</si>
  <si>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</si>
  <si>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</si>
  <si>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</si>
  <si>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</si>
  <si>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</si>
  <si>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</si>
  <si>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</si>
  <si>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</si>
  <si>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</si>
  <si>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</si>
  <si>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</si>
  <si>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</si>
  <si>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</si>
  <si>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</si>
  <si>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</si>
  <si>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</si>
  <si>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</si>
  <si>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</si>
  <si>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</si>
  <si>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</si>
  <si>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</si>
  <si>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</si>
  <si>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</si>
  <si>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</si>
  <si>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</si>
  <si>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</si>
  <si>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</si>
  <si>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</si>
  <si>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</si>
  <si>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</si>
  <si>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</si>
  <si>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</si>
  <si>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</si>
  <si>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</si>
  <si>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</si>
  <si>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</si>
  <si>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</si>
  <si>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</si>
  <si>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</si>
  <si>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</si>
  <si>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</si>
  <si>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</si>
  <si>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</si>
  <si>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</si>
  <si>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</si>
  <si>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</si>
  <si>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</si>
  <si>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</si>
  <si>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</si>
  <si>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</si>
  <si>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</si>
  <si>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</si>
  <si>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</si>
  <si>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</si>
  <si>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</si>
  <si>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</si>
  <si>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</si>
  <si>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</si>
  <si>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</si>
  <si>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</si>
  <si>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</si>
  <si>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</si>
  <si>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</si>
  <si>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</si>
  <si>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</si>
  <si>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</si>
  <si>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</si>
  <si>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</si>
  <si>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</si>
  <si>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</si>
  <si>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</si>
  <si>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</si>
  <si>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</si>
  <si>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</si>
  <si>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</si>
  <si>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</si>
  <si>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</si>
  <si>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</si>
  <si>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</si>
  <si>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</si>
  <si>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</si>
  <si>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</si>
  <si>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</si>
  <si>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</si>
  <si>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</si>
  <si>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</si>
  <si>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</si>
  <si>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</si>
  <si>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</si>
  <si>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</si>
  <si>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</si>
  <si>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</si>
  <si>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</si>
  <si>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</si>
  <si>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</si>
  <si>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</si>
  <si>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</si>
  <si>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</si>
  <si>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</si>
  <si>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</si>
  <si>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</si>
  <si>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</si>
  <si>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</si>
  <si>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</si>
  <si>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</si>
  <si>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</si>
  <si>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</si>
  <si>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</si>
  <si>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</si>
  <si>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</si>
  <si>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</si>
  <si>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</si>
  <si>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</si>
  <si>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</si>
  <si>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</si>
  <si>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</si>
  <si>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</si>
  <si>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</si>
  <si>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</si>
  <si>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</si>
  <si>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</si>
  <si>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</si>
  <si>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</si>
  <si>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</si>
  <si>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</si>
  <si>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</si>
  <si>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</si>
  <si>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</si>
  <si>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</si>
  <si>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</si>
  <si>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</si>
  <si>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</si>
  <si>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</si>
  <si>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</si>
  <si>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</si>
  <si>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</si>
  <si>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</si>
  <si>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</si>
  <si>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</si>
  <si>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</si>
  <si>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</si>
  <si>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</si>
  <si>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</si>
  <si>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</si>
  <si>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</si>
  <si>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</si>
  <si>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</si>
  <si>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</si>
  <si>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</si>
  <si>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</si>
  <si>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</si>
  <si>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</si>
  <si>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</si>
  <si>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</si>
  <si>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</si>
  <si>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</si>
  <si>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</si>
  <si>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</si>
  <si>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</si>
  <si>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</si>
  <si>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</si>
  <si>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</si>
  <si>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</si>
  <si>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</si>
  <si>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</si>
  <si>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</si>
  <si>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</si>
  <si>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</si>
  <si>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</si>
  <si>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</si>
  <si>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</si>
  <si>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</si>
  <si>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</si>
  <si>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</si>
  <si>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</si>
  <si>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</si>
  <si>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</si>
  <si>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</si>
  <si>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</si>
  <si>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</si>
  <si>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</si>
  <si>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</si>
  <si>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</si>
  <si>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</si>
  <si>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</si>
  <si>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</si>
  <si>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</si>
  <si>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</si>
  <si>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</si>
  <si>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</si>
  <si>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</si>
  <si>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</si>
  <si>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</si>
  <si>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</si>
  <si>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</si>
  <si>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</si>
  <si>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</si>
  <si>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</si>
  <si>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</si>
  <si>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</si>
  <si>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</si>
  <si>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</si>
  <si>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</si>
  <si>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</si>
  <si>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</si>
  <si>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</si>
  <si>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</si>
  <si>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</si>
  <si>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</si>
  <si>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</si>
  <si>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</si>
  <si>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</si>
  <si>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</si>
  <si>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</si>
  <si>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</si>
  <si>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</si>
  <si>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</si>
  <si>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</si>
  <si>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</si>
  <si>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</si>
  <si>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</si>
  <si>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</si>
  <si>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</si>
  <si>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</si>
  <si>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</si>
  <si>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</si>
  <si>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</si>
  <si>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</si>
  <si>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</si>
  <si>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</si>
  <si>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</si>
  <si>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</si>
  <si>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</si>
  <si>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</si>
  <si>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</si>
  <si>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</si>
  <si>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</si>
  <si>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</si>
  <si>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</si>
  <si>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</si>
  <si>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</si>
  <si>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</si>
  <si>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</si>
  <si>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</si>
  <si>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</si>
  <si>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</si>
  <si>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</si>
  <si>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</si>
  <si>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</si>
  <si>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</si>
  <si>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</si>
  <si>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</si>
  <si>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</si>
  <si>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</si>
  <si>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</si>
  <si>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</si>
  <si>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</si>
  <si>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</si>
  <si>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</si>
  <si>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</si>
  <si>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</si>
  <si>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</si>
  <si>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</si>
  <si>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</si>
  <si>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</si>
  <si>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</si>
  <si>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</si>
  <si>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</si>
  <si>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</si>
  <si>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</si>
  <si>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</si>
  <si>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</si>
  <si>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</si>
  <si>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</si>
  <si>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</si>
  <si>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</si>
  <si>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</si>
  <si>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</si>
  <si>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</si>
  <si>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</si>
  <si>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</si>
  <si>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</si>
  <si>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</si>
  <si>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</si>
  <si>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</si>
  <si>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</si>
  <si>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</si>
  <si>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</si>
  <si>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</si>
  <si>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</si>
  <si>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</si>
  <si>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</si>
  <si>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</si>
  <si>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</si>
  <si>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</si>
  <si>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</si>
  <si>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</si>
  <si>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</si>
  <si>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</si>
  <si>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</si>
  <si>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</si>
  <si>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</si>
  <si>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</si>
  <si>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</si>
  <si>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</si>
  <si>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</si>
  <si>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</si>
  <si>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</si>
  <si>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</si>
  <si>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</si>
  <si>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</si>
  <si>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</si>
  <si>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</si>
  <si>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</si>
  <si>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</si>
  <si>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</si>
  <si>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</si>
  <si>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</si>
  <si>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</si>
  <si>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</si>
  <si>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</si>
  <si>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</si>
  <si>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</si>
  <si>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</si>
  <si>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</si>
  <si>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</si>
  <si>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</si>
  <si>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</si>
  <si>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</si>
  <si>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</si>
  <si>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</si>
  <si>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</si>
  <si>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</si>
  <si>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</si>
  <si>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</si>
  <si>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</si>
  <si>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</si>
  <si>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</si>
  <si>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</si>
  <si>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</si>
  <si>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</si>
  <si>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</si>
  <si>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</si>
  <si>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</si>
  <si>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</si>
  <si>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</si>
  <si>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</si>
  <si>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</si>
  <si>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</si>
  <si>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</si>
  <si>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</si>
  <si>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</si>
  <si>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</si>
  <si>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</si>
  <si>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</si>
  <si>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</si>
  <si>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</si>
  <si>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</si>
  <si>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</si>
  <si>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</si>
  <si>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</si>
  <si>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</si>
  <si>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</si>
  <si>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</si>
  <si>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</si>
  <si>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</si>
  <si>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</si>
  <si>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</si>
  <si>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</si>
  <si>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</si>
  <si>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</si>
  <si>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</si>
  <si>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</si>
  <si>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</si>
  <si>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</si>
  <si>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</si>
  <si>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</si>
  <si>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</si>
  <si>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</si>
  <si>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</si>
  <si>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</si>
  <si>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</si>
  <si>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</si>
  <si>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</si>
  <si>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</si>
  <si>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</si>
  <si>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</si>
  <si>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</si>
  <si>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</si>
  <si>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</si>
  <si>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</si>
  <si>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</si>
  <si>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</si>
  <si>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</si>
  <si>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</si>
  <si>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</si>
  <si>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</si>
  <si>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</si>
  <si>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</si>
  <si>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</si>
  <si>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</si>
  <si>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</si>
  <si>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</si>
  <si>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</si>
  <si>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</si>
  <si>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</si>
  <si>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</si>
  <si>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</si>
  <si>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</si>
  <si>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</si>
  <si>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</si>
  <si>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</si>
  <si>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</si>
  <si>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</si>
  <si>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</si>
  <si>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</si>
  <si>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</si>
  <si>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</si>
  <si>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</si>
  <si>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</si>
  <si>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</si>
  <si>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</si>
  <si>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</si>
  <si>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</si>
  <si>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</si>
  <si>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</si>
  <si>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</si>
  <si>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</si>
  <si>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</si>
  <si>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</si>
  <si>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</si>
  <si>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</si>
  <si>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</si>
  <si>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</si>
  <si>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</si>
  <si>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</si>
  <si>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</si>
  <si>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</si>
  <si>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</si>
  <si>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</si>
  <si>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</si>
  <si>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</si>
  <si>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</si>
  <si>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</si>
  <si>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</si>
  <si>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</si>
  <si>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</si>
  <si>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</si>
  <si>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</si>
  <si>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</si>
  <si>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</si>
  <si>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</si>
  <si>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</si>
  <si>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</si>
  <si>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</si>
  <si>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</si>
  <si>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</si>
  <si>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</si>
  <si>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</si>
  <si>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</si>
  <si>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</si>
  <si>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</si>
  <si>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</si>
  <si>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</si>
  <si>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</si>
  <si>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</si>
  <si>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</si>
  <si>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</si>
  <si>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</si>
  <si>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</si>
  <si>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</si>
  <si>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</si>
  <si>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</si>
  <si>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</si>
  <si>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</si>
  <si>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</si>
  <si>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</si>
  <si>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</si>
  <si>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</si>
  <si>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</si>
  <si>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</si>
  <si>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</si>
  <si>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</si>
  <si>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</si>
  <si>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</si>
  <si>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</si>
  <si>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</si>
  <si>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</si>
  <si>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</si>
  <si>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</si>
  <si>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</si>
  <si>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</si>
  <si>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</si>
  <si>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</si>
  <si>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</si>
  <si>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</si>
  <si>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</si>
  <si>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</si>
  <si>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</si>
  <si>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</si>
  <si>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</si>
  <si>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</si>
  <si>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</si>
  <si>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</si>
  <si>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</si>
  <si>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</si>
  <si>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</si>
  <si>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</si>
  <si>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</si>
  <si>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</si>
  <si>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</si>
  <si>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</si>
  <si>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</si>
  <si>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</si>
  <si>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</si>
  <si>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</si>
  <si>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</si>
  <si>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</si>
  <si>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</si>
  <si>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</si>
  <si>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</si>
  <si>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</si>
  <si>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</si>
  <si>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</si>
  <si>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</si>
  <si>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</si>
  <si>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</si>
  <si>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</si>
  <si>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</si>
  <si>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</si>
  <si>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</si>
  <si>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</si>
  <si>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</si>
  <si>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</si>
  <si>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</si>
  <si>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</si>
  <si>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</si>
  <si>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</si>
  <si>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</si>
  <si>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</si>
  <si>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</si>
  <si>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</si>
  <si>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</si>
  <si>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</si>
  <si>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</si>
  <si>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</si>
  <si>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</si>
  <si>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</si>
  <si>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</si>
  <si>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</si>
  <si>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</si>
  <si>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</si>
  <si>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</si>
  <si>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</si>
  <si>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</si>
  <si>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</si>
  <si>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</si>
  <si>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</si>
  <si>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</si>
  <si>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</si>
  <si>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</si>
  <si>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</si>
  <si>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</si>
  <si>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</si>
  <si>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</si>
  <si>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</si>
  <si>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</si>
  <si>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</si>
  <si>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</si>
  <si>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</si>
  <si>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</si>
  <si>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</si>
  <si>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</si>
  <si>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</si>
  <si>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</si>
  <si>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</si>
  <si>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</si>
  <si>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</si>
  <si>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</si>
  <si>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</si>
  <si>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</si>
  <si>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</si>
  <si>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</si>
  <si>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</si>
  <si>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</si>
  <si>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</si>
  <si>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</si>
  <si>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</si>
  <si>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</si>
  <si>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</si>
  <si>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</si>
  <si>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</si>
  <si>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</si>
  <si>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</si>
  <si>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</si>
  <si>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</si>
  <si>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</si>
  <si>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</si>
  <si>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</si>
  <si>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</si>
  <si>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</si>
  <si>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</si>
  <si>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</si>
  <si>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</si>
  <si>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</si>
  <si>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</si>
  <si>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</si>
  <si>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</si>
  <si>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</si>
  <si>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</si>
  <si>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</si>
  <si>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</si>
  <si>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</si>
  <si>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</si>
  <si>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</si>
  <si>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</si>
  <si>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</si>
  <si>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</si>
  <si>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</si>
  <si>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</si>
  <si>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</si>
  <si>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</si>
  <si>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</si>
  <si>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</si>
  <si>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</si>
  <si>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</si>
  <si>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</si>
  <si>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</si>
  <si>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</si>
  <si>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</si>
  <si>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</si>
  <si>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</si>
  <si>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</si>
  <si>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</si>
  <si>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</si>
  <si>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</si>
  <si>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</si>
  <si>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</si>
  <si>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</si>
  <si>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</si>
  <si>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</si>
  <si>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</si>
  <si>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</si>
  <si>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</si>
  <si>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</si>
  <si>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</si>
  <si>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</si>
  <si>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</si>
  <si>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</si>
  <si>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</si>
  <si>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</si>
  <si>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</si>
  <si>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</si>
  <si>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</si>
  <si>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</si>
  <si>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</si>
  <si>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</si>
  <si>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</si>
  <si>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</si>
  <si>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</si>
  <si>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</si>
  <si>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</si>
  <si>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</si>
  <si>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</si>
  <si>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</si>
  <si>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</si>
  <si>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</si>
  <si>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</si>
  <si>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</si>
  <si>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</si>
  <si>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</si>
  <si>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</si>
  <si>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</si>
  <si>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</si>
  <si>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</si>
  <si>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</si>
  <si>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</si>
  <si>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</si>
  <si>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</si>
  <si>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</si>
  <si>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</si>
  <si>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</si>
  <si>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</si>
  <si>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</si>
  <si>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</si>
  <si>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</si>
  <si>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</si>
  <si>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</si>
  <si>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</si>
  <si>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</si>
  <si>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</si>
  <si>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</si>
  <si>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</si>
  <si>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</si>
  <si>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</si>
  <si>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</si>
  <si>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</si>
  <si>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</si>
  <si>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</si>
  <si>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</si>
  <si>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</si>
  <si>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</si>
  <si>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</si>
  <si>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</si>
  <si>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</si>
  <si>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</si>
  <si>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</si>
  <si>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</si>
  <si>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</si>
  <si>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</si>
  <si>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</si>
  <si>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</si>
  <si>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</si>
  <si>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</si>
  <si>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</si>
  <si>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</si>
  <si>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</si>
  <si>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</si>
  <si>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</si>
  <si>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</si>
  <si>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</si>
  <si>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</si>
  <si>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</si>
  <si>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</si>
  <si>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</si>
  <si>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</si>
  <si>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</si>
  <si>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</si>
  <si>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</si>
  <si>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</si>
  <si>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</si>
  <si>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</si>
  <si>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</si>
  <si>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</si>
  <si>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</si>
  <si>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</si>
  <si>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</si>
  <si>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</si>
  <si>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</si>
  <si>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</si>
  <si>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</si>
  <si>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</si>
  <si>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</si>
  <si>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</si>
  <si>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</si>
  <si>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</si>
  <si>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</si>
  <si>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</si>
  <si>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</si>
  <si>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</si>
  <si>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</si>
  <si>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</si>
  <si>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</si>
  <si>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</si>
  <si>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</si>
  <si>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</si>
  <si>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</si>
  <si>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</si>
  <si>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</si>
  <si>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</si>
  <si>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</si>
  <si>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</si>
  <si>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</si>
  <si>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</si>
  <si>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</si>
  <si>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</si>
  <si>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</si>
  <si>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</si>
  <si>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</si>
  <si>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</si>
  <si>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</si>
  <si>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</si>
  <si>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</si>
  <si>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</si>
  <si>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</si>
  <si>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</si>
  <si>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</si>
  <si>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</si>
  <si>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</si>
  <si>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</si>
  <si>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</si>
  <si>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</si>
  <si>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</si>
  <si>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</si>
  <si>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</si>
  <si>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</si>
  <si>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</si>
  <si>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</si>
  <si>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</si>
  <si>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</si>
  <si>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</si>
  <si>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</si>
  <si>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</si>
  <si>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</si>
  <si>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</si>
  <si>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</si>
  <si>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</si>
  <si>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</si>
  <si>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</si>
  <si>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</si>
  <si>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</si>
  <si>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</si>
  <si>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</si>
  <si>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</si>
  <si>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</si>
  <si>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</si>
  <si>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</si>
  <si>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</si>
  <si>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</si>
  <si>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</si>
  <si>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</si>
  <si>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</si>
  <si>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</si>
  <si>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</si>
  <si>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</si>
  <si>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</si>
  <si>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</si>
  <si>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</si>
  <si>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</si>
  <si>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</si>
  <si>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</si>
  <si>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</si>
  <si>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</si>
  <si>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</si>
  <si>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</si>
  <si>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</si>
  <si>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</si>
  <si>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</si>
  <si>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</si>
  <si>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</si>
  <si>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</si>
  <si>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</si>
  <si>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</si>
  <si>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</si>
  <si>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</si>
  <si>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</si>
  <si>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</si>
  <si>
    <t>https://www.mybidfood.cl/#/products/detail/204390005</t>
  </si>
  <si>
    <t>https://www.mybidfood.cl/#/products/detail/200304004</t>
  </si>
  <si>
    <t>https://www.mybidfood.cl/#/products/detail/200301003</t>
  </si>
  <si>
    <t>https://www.mybidfood.cl/#/products/detail/104070008</t>
  </si>
  <si>
    <t>https://www.mybidfood.cl/#/products/detail/101355006</t>
  </si>
  <si>
    <t>https://www.mybidfood.cl/#/products/detail/101355001</t>
  </si>
  <si>
    <t>https://www.mybidfood.cl/#/products/detail/103210007</t>
  </si>
  <si>
    <t>https://www.mybidfood.cl/#/products/detail/101250001</t>
  </si>
  <si>
    <t>https://www.mybidfood.cl/#/products/detail/100150003</t>
  </si>
  <si>
    <t>https://www.mybidfood.cl/#/products/detail/100102009</t>
  </si>
  <si>
    <t>https://www.mybidfood.cl/#/products/detail/100102015</t>
  </si>
  <si>
    <t>https://www.mybidfood.cl/#/products/detail/100102004</t>
  </si>
  <si>
    <t>https://www.mybidfood.cl/#/products/detail/100102013</t>
  </si>
  <si>
    <t>https://www.mybidfood.cl/#/products/detail/103650001</t>
  </si>
  <si>
    <t>https://www.mybidfood.cl/#/products/detail/103650002</t>
  </si>
  <si>
    <t>https://www.mybidfood.cl/#/products/detail/103650000</t>
  </si>
  <si>
    <t>https://www.mybidfood.cl/#/products/detail/100304014</t>
  </si>
  <si>
    <t>https://www.mybidfood.cl/#/products/detail/100551002</t>
  </si>
  <si>
    <t>https://www.mybidfood.cl/#/products/detail/100556001</t>
  </si>
  <si>
    <t>https://www.mybidfood.cl/#/products/detail/104040000</t>
  </si>
  <si>
    <t>https://www.mybidfood.cl/#/products/detail/100558003</t>
  </si>
  <si>
    <t>https://www.mybidfood.cl/#/products/detail/100552004</t>
  </si>
  <si>
    <t>https://www.mybidfood.cl/#/products/detail/100552003</t>
  </si>
  <si>
    <t>https://www.mybidfood.cl/#/products/detail/100550008</t>
  </si>
  <si>
    <t>https://www.mybidfood.cl/#/products/detail/100553001</t>
  </si>
  <si>
    <t>https://www.mybidfood.cl/#/products/detail/100550001</t>
  </si>
  <si>
    <t>https://www.mybidfood.cl/#/products/detail/101305002</t>
  </si>
  <si>
    <t>https://www.mybidfood.cl/#/products/detail/100355014</t>
  </si>
  <si>
    <t>https://www.mybidfood.cl/#/products/detail/100355005</t>
  </si>
  <si>
    <t>https://www.mybidfood.cl/#/products/detail/100803001</t>
  </si>
  <si>
    <t>https://www.mybidfood.cl/#/products/detail/100800002</t>
  </si>
  <si>
    <t>https://www.mybidfood.cl/#/products/detail/100801003</t>
  </si>
  <si>
    <t>https://www.mybidfood.cl/#/products/detail/100800001</t>
  </si>
  <si>
    <t>https://www.mybidfood.cl/#/products/detail/103920003</t>
  </si>
  <si>
    <t>https://www.mybidfood.cl/#/products/detail/100752001</t>
  </si>
  <si>
    <t>https://www.mybidfood.cl/#/products/detail/300156001</t>
  </si>
  <si>
    <t>https://www.mybidfood.cl/#/products/detail/300157018</t>
  </si>
  <si>
    <t>https://www.mybidfood.cl/#/products/detail/300156007</t>
  </si>
  <si>
    <t>https://www.mybidfood.cl/#/products/detail/300156009</t>
  </si>
  <si>
    <t>https://www.mybidfood.cl/#/products/detail/300157011</t>
  </si>
  <si>
    <t>https://www.mybidfood.cl/#/products/detail/300157014</t>
  </si>
  <si>
    <t>https://www.mybidfood.cl/#/products/detail/200500008</t>
  </si>
  <si>
    <t>https://www.mybidfood.cl/#/products/detail/101351007</t>
  </si>
  <si>
    <t>https://www.mybidfood.cl/#/products/detail/101201011</t>
  </si>
  <si>
    <t>https://www.mybidfood.cl/#/products/detail/101201012</t>
  </si>
  <si>
    <t>https://www.mybidfood.cl/#/products/detail/101201013</t>
  </si>
  <si>
    <t>https://www.mybidfood.cl/#/products/detail/101201018</t>
  </si>
  <si>
    <t>https://www.mybidfood.cl/#/products/detail/204790032</t>
  </si>
  <si>
    <t>https://www.mybidfood.cl/#/products/detail/101452004</t>
  </si>
  <si>
    <t>https://www.mybidfood.cl/#/products/detail/101452001</t>
  </si>
  <si>
    <t>https://www.mybidfood.cl/#/products/detail/203430009</t>
  </si>
  <si>
    <t>https://www.mybidfood.cl/#/products/detail/101402007</t>
  </si>
  <si>
    <t>https://www.mybidfood.cl/#/products/detail/203230003</t>
  </si>
  <si>
    <t>https://www.mybidfood.cl/#/products/detail/203230004</t>
  </si>
  <si>
    <t>https://www.mybidfood.cl/#/products/detail/203230001</t>
  </si>
  <si>
    <t>https://www.mybidfood.cl/#/products/detail/203230002</t>
  </si>
  <si>
    <t>https://www.mybidfood.cl/#/products/detail/100002001</t>
  </si>
  <si>
    <t>https://www.mybidfood.cl/#/products/detail/100251012</t>
  </si>
  <si>
    <t>https://www.mybidfood.cl/#/products/detail/100700002</t>
  </si>
  <si>
    <t>https://www.jumbo.cl/hamburguesa-san-jorge-bronto-burger-185-g/p?idsku=70087&amp;gclsrc=aw.ds&amp;gad_source=1&amp;gad_campaignid=16738220070&amp;gbraid=0AAAAAD0vkf3EugalWIoZaxtojr0ntP7pn&amp;gclid=CjwKCAiAt8bIBhBpEiwAzH1w6bfvhfVz-vGHFQ7gs_7GyNfPNHG0aQoc2M-JSepisnZOy3n12uOg9hoCCs4QAvD_BwE</t>
  </si>
  <si>
    <t>https://super.lider.cl/ip/hamburguesas-y-churrascos/00780190700689</t>
  </si>
  <si>
    <t>lider</t>
  </si>
  <si>
    <t>https://www.mybidfood.cl/#/products/detail/203510007</t>
  </si>
  <si>
    <t>https://www.jumbo.cl/hamburguesa-vacuno-san-jorge-90g/p?idsku=89013&amp;gclsrc=aw.ds&amp;gad_source=1&amp;gad_campaignid=16738220070&amp;gbraid=0AAAAAD0vkf3EugalWIoZaxtojr0ntP7pn&amp;gclid=CjwKCAiAt8bIBhBpEiwAzH1w6aXhqi9WFg25XDdDK5sCMwl2s52zjuhSdXH5iREqUGy-592MJRAM4hoCgbIQAvD_BwE</t>
  </si>
  <si>
    <t>https://www.mybidfood.cl/#/products/detail/203510006</t>
  </si>
  <si>
    <t>https://www.mybidfood.cl/#/products/detail/200201017</t>
  </si>
  <si>
    <t>https://www.mybidfood.cl/#/products/detail/200250010</t>
  </si>
  <si>
    <t>https://www.mybidfood.cl/#/products/detail/204300067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</si>
</sst>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  <xf numFmtId="1" fontId="4" fillId="0" borderId="0" xfId="0" applyNumberFormat="1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36" Type="http://schemas.openxmlformats.org/officeDocument/2006/relationships/hyperlink" Target="https://www.mybidfood.cl/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187"/>
  <sheetViews>
    <sheetView tabSelected="1" zoomScale="76" workbookViewId="0">
      <pane ySplit="1" topLeftCell="A121" activePane="bottomLeft" state="frozen"/>
      <selection pane="bottomLeft" activeCell="A325" sqref="A325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1063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 t="shared" ref="I2:I65" si="0"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si="0"/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ref="I66:I129" si="1">G66/H66</f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si="1"/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>
        <v>7590</v>
      </c>
      <c r="H121">
        <v>1</v>
      </c>
      <c r="I121" s="5">
        <f t="shared" si="1"/>
        <v>7590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>
        <v>7890</v>
      </c>
      <c r="H167">
        <v>1</v>
      </c>
      <c r="I167" s="5">
        <f t="shared" si="2"/>
        <v>7890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v>24000</v>
      </c>
      <c r="H249">
        <v>5.6</v>
      </c>
      <c r="I249" s="5">
        <f t="shared" si="3"/>
        <v>4285.7142857142862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 s="9">
        <v>150001954</v>
      </c>
      <c r="B325" t="s">
        <v>380</v>
      </c>
      <c r="E325" t="s">
        <v>534</v>
      </c>
      <c r="F325" s="1" t="s">
        <v>980</v>
      </c>
      <c r="G325">
        <v>7390</v>
      </c>
      <c r="H325">
        <v>1</v>
      </c>
      <c r="I325" s="5">
        <f t="shared" si="5"/>
        <v>7390</v>
      </c>
      <c r="J325" s="3">
        <v>45979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9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si="6"/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ref="I450:I478" si="7">G450/H450</f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 t="shared" si="7"/>
        <v>6854.2857142857147</v>
      </c>
      <c r="L478" t="s">
        <v>1067</v>
      </c>
    </row>
    <row r="479" spans="1:12" x14ac:dyDescent="0.35">
      <c r="A479">
        <v>104500500</v>
      </c>
      <c r="B479" t="s">
        <v>73</v>
      </c>
      <c r="E479" t="s">
        <v>584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1067</v>
      </c>
    </row>
    <row r="480" spans="1:12" x14ac:dyDescent="0.35">
      <c r="A480">
        <v>104519930</v>
      </c>
      <c r="B480" t="s">
        <v>74</v>
      </c>
      <c r="E480" t="s">
        <v>584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1067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1067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1067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1067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1067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1067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1067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1067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1067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1064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1067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1067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1067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1067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1067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1067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1064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1065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1065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1067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1064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1067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1064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1064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1064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1064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1067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1067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1067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1067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1067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1067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1067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1067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1067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1067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1067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1067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1067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27" si="10">G519/H519/1.19</f>
        <v>10616.246498599441</v>
      </c>
      <c r="L519" t="s">
        <v>1067</v>
      </c>
    </row>
    <row r="520" spans="1:12" x14ac:dyDescent="0.35">
      <c r="A520">
        <v>104521840</v>
      </c>
      <c r="B520" t="s">
        <v>97</v>
      </c>
      <c r="E520" t="s">
        <v>584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1067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1067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1067</v>
      </c>
    </row>
    <row r="523" spans="1:12" x14ac:dyDescent="0.35">
      <c r="A523">
        <v>104541760</v>
      </c>
      <c r="B523" t="s">
        <v>100</v>
      </c>
      <c r="E523" t="s">
        <v>584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1067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1067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1067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1067</v>
      </c>
    </row>
    <row r="527" spans="1:12" x14ac:dyDescent="0.35">
      <c r="A527">
        <v>104520680</v>
      </c>
      <c r="B527" t="s">
        <v>117</v>
      </c>
      <c r="E527" t="s">
        <v>584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1067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1066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ref="I529:I535" si="11">G529/H529/1.19</f>
        <v>2521.0084033613448</v>
      </c>
      <c r="L529" t="s">
        <v>1067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1"/>
        <v>2138.1886087768439</v>
      </c>
      <c r="L530" t="s">
        <v>1067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1"/>
        <v>3257.1428571428573</v>
      </c>
      <c r="L531" t="s">
        <v>1067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1"/>
        <v>5329.909741674448</v>
      </c>
      <c r="L532" t="s">
        <v>1067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1"/>
        <v>3590.9209044442518</v>
      </c>
      <c r="L533" t="s">
        <v>1065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1"/>
        <v>6415.5844155844161</v>
      </c>
      <c r="L534" t="s">
        <v>1067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1"/>
        <v>5591.8663761801017</v>
      </c>
      <c r="L535" t="s">
        <v>1067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1066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2">G537/H537/1.19</f>
        <v>16806.722689075632</v>
      </c>
      <c r="L537" t="s">
        <v>1067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2"/>
        <v>13436.974789915967</v>
      </c>
      <c r="L538" t="s">
        <v>1067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2"/>
        <v>3189.9159663865548</v>
      </c>
      <c r="L539" t="s">
        <v>1065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2"/>
        <v>2584.8739495798322</v>
      </c>
      <c r="L540" t="s">
        <v>1065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2"/>
        <v>3857.1428571428573</v>
      </c>
      <c r="L541" t="s">
        <v>1067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2"/>
        <v>4030.2521008403364</v>
      </c>
      <c r="L542" t="s">
        <v>1065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2"/>
        <v>26890.756302521011</v>
      </c>
      <c r="L543" t="s">
        <v>1067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1067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1067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3">G546/H546/1.19</f>
        <v>5121.1134453781515</v>
      </c>
      <c r="L546" t="s">
        <v>1067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3"/>
        <v>5873.9495798319331</v>
      </c>
      <c r="L547" t="s">
        <v>1067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3"/>
        <v>7806.722689075631</v>
      </c>
      <c r="L548" t="s">
        <v>1067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3"/>
        <v>9235.2941176470595</v>
      </c>
      <c r="L549" t="s">
        <v>1067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3"/>
        <v>8319.3277310924368</v>
      </c>
      <c r="L550" t="s">
        <v>1067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3"/>
        <v>6638.6554621848745</v>
      </c>
      <c r="L551" t="s">
        <v>1067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3"/>
        <v>12596.638655462186</v>
      </c>
      <c r="L552" t="s">
        <v>1067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3"/>
        <v>3145.8823529411766</v>
      </c>
      <c r="L553" t="s">
        <v>1067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3"/>
        <v>2037.8151260504203</v>
      </c>
      <c r="L554" t="s">
        <v>1067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3"/>
        <v>1650.420168067227</v>
      </c>
      <c r="L555" t="s">
        <v>1065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3"/>
        <v>3539.5976572447162</v>
      </c>
      <c r="L556" t="s">
        <v>1065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3"/>
        <v>1650.420168067227</v>
      </c>
      <c r="L557" t="s">
        <v>1065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3"/>
        <v>2037.8151260504203</v>
      </c>
      <c r="L558" t="s">
        <v>1067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3"/>
        <v>1650.420168067227</v>
      </c>
      <c r="L559" t="s">
        <v>1065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3"/>
        <v>1554.6218487394958</v>
      </c>
      <c r="L560" t="s">
        <v>1065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3"/>
        <v>1579.8319327731092</v>
      </c>
      <c r="L561" t="s">
        <v>1067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3"/>
        <v>1650.420168067227</v>
      </c>
      <c r="L562" t="s">
        <v>1065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3"/>
        <v>1888.6554621848741</v>
      </c>
      <c r="L563" t="s">
        <v>1067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3"/>
        <v>1579.8319327731092</v>
      </c>
      <c r="L564" t="s">
        <v>1067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3"/>
        <v>1596.6386554621849</v>
      </c>
      <c r="L565" t="s">
        <v>1067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3"/>
        <v>5042.0168067226896</v>
      </c>
      <c r="L566" t="s">
        <v>1067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3"/>
        <v>2857.1428571428573</v>
      </c>
      <c r="L567" t="s">
        <v>1067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3"/>
        <v>1951.4472455648927</v>
      </c>
      <c r="L568" t="s">
        <v>1065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3"/>
        <v>1504.201680672269</v>
      </c>
      <c r="L569" t="s">
        <v>1067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3"/>
        <v>3500</v>
      </c>
      <c r="L570" t="s">
        <v>1067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3"/>
        <v>4072.3981900452486</v>
      </c>
      <c r="L571" t="s">
        <v>1067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3"/>
        <v>4127.5956226319249</v>
      </c>
      <c r="L572" t="s">
        <v>1067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3"/>
        <v>9243.6974789915967</v>
      </c>
      <c r="L573" t="s">
        <v>1067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3"/>
        <v>1663.8655462184875</v>
      </c>
      <c r="L574" t="s">
        <v>1065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3"/>
        <v>8394.957983193277</v>
      </c>
      <c r="L575" t="s">
        <v>1067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1067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4" si="14">G577/H577/1.19</f>
        <v>8350.8403361344535</v>
      </c>
      <c r="L577" t="s">
        <v>1067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4"/>
        <v>9537.8151260504201</v>
      </c>
      <c r="L578" t="s">
        <v>1065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4"/>
        <v>16106.442577030813</v>
      </c>
      <c r="L579" t="s">
        <v>1065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4"/>
        <v>28109.243697478993</v>
      </c>
      <c r="L580" t="s">
        <v>1067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4"/>
        <v>8478.0578898225958</v>
      </c>
      <c r="L581" t="s">
        <v>1067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4"/>
        <v>29411.764705882353</v>
      </c>
      <c r="L582" t="s">
        <v>1067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4"/>
        <v>138277.31092436975</v>
      </c>
      <c r="L583" t="s">
        <v>1067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4"/>
        <v>16798.319327731093</v>
      </c>
      <c r="L584" t="s">
        <v>1067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4"/>
        <v>1168.0672268907563</v>
      </c>
      <c r="L585" t="s">
        <v>1067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4"/>
        <v>1243.6974789915967</v>
      </c>
      <c r="L586" t="s">
        <v>1067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4"/>
        <v>907.56302521008411</v>
      </c>
      <c r="L587" t="s">
        <v>1065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4"/>
        <v>6704.0149393090569</v>
      </c>
      <c r="L588" t="s">
        <v>1067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4"/>
        <v>1168.0672268907563</v>
      </c>
      <c r="L589" t="s">
        <v>1067</v>
      </c>
    </row>
    <row r="590" spans="1:12" x14ac:dyDescent="0.35">
      <c r="A590">
        <v>104532830</v>
      </c>
      <c r="B590" t="s">
        <v>285</v>
      </c>
      <c r="E590" t="s">
        <v>584</v>
      </c>
      <c r="F590" t="s">
        <v>646</v>
      </c>
      <c r="G590">
        <v>50391</v>
      </c>
      <c r="H590">
        <v>18</v>
      </c>
      <c r="I590">
        <f t="shared" si="14"/>
        <v>2352.5210084033615</v>
      </c>
      <c r="L590" t="s">
        <v>1067</v>
      </c>
    </row>
    <row r="591" spans="1:12" x14ac:dyDescent="0.35">
      <c r="A591">
        <v>104544760</v>
      </c>
      <c r="B591" t="s">
        <v>286</v>
      </c>
      <c r="E591" t="s">
        <v>584</v>
      </c>
      <c r="F591" t="s">
        <v>647</v>
      </c>
      <c r="G591">
        <v>4990</v>
      </c>
      <c r="H591">
        <v>3</v>
      </c>
      <c r="I591">
        <f t="shared" si="14"/>
        <v>1397.7591036414565</v>
      </c>
      <c r="L591" t="s">
        <v>1067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4"/>
        <v>2386.5546218487398</v>
      </c>
      <c r="L592" t="s">
        <v>1067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4"/>
        <v>6384.8739495798318</v>
      </c>
      <c r="L593" t="s">
        <v>1067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4"/>
        <v>5134.453781512605</v>
      </c>
      <c r="L594" t="s">
        <v>1067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4"/>
        <v>4268.90756302521</v>
      </c>
      <c r="L595" t="s">
        <v>1067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4"/>
        <v>3241.5966386554624</v>
      </c>
      <c r="L596" t="s">
        <v>1067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4"/>
        <v>3130.2521008403364</v>
      </c>
      <c r="L597" t="s">
        <v>1067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4"/>
        <v>8379.3517406962783</v>
      </c>
      <c r="L598" t="s">
        <v>1067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4"/>
        <v>11533.613445378152</v>
      </c>
      <c r="L599" t="s">
        <v>1067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4"/>
        <v>7352.9411764705883</v>
      </c>
      <c r="L600" t="s">
        <v>1067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4"/>
        <v>29811.924769907968</v>
      </c>
      <c r="L601" t="s">
        <v>1067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4"/>
        <v>60474.807206833357</v>
      </c>
      <c r="L602" t="s">
        <v>1067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4"/>
        <v>23781.512605042019</v>
      </c>
      <c r="L603" t="s">
        <v>1067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4"/>
        <v>7210.0840336134461</v>
      </c>
      <c r="L604" t="s">
        <v>1067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1066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ref="I606:I620" si="15">G606/H606/1.19</f>
        <v>1596.6386554621852</v>
      </c>
      <c r="L606" t="s">
        <v>1067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5"/>
        <v>1796.71868747499</v>
      </c>
      <c r="L607" t="s">
        <v>1067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5"/>
        <v>4613.4453781512611</v>
      </c>
      <c r="L608" t="s">
        <v>1065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si="15"/>
        <v>4621.8487394957983</v>
      </c>
      <c r="L609" t="s">
        <v>1067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5"/>
        <v>6689.0756302521013</v>
      </c>
      <c r="L610" t="s">
        <v>1067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5"/>
        <v>8781.5126050420167</v>
      </c>
      <c r="L611" t="s">
        <v>1067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5"/>
        <v>4178.5714285714284</v>
      </c>
      <c r="L612" t="s">
        <v>1067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5"/>
        <v>3716.386554621849</v>
      </c>
      <c r="L613" t="s">
        <v>1067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5"/>
        <v>5037.8151260504201</v>
      </c>
      <c r="L614" t="s">
        <v>1067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5"/>
        <v>37932.773109243702</v>
      </c>
      <c r="L615" t="s">
        <v>1067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5"/>
        <v>16789.915966386554</v>
      </c>
      <c r="L616" t="s">
        <v>1067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5"/>
        <v>2176.4705882352941</v>
      </c>
      <c r="L617" t="s">
        <v>1067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5"/>
        <v>789.54621848739498</v>
      </c>
      <c r="L618" t="s">
        <v>1067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5"/>
        <v>1279.1783380018674</v>
      </c>
      <c r="L619" t="s">
        <v>1065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5"/>
        <v>1932.7731092436975</v>
      </c>
      <c r="L620" t="s">
        <v>1067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1066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ref="I622:I640" si="16">G622/H622/1.19</f>
        <v>3309.4719369229169</v>
      </c>
      <c r="L622" t="s">
        <v>1067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6"/>
        <v>3431.372549019608</v>
      </c>
      <c r="L623" t="s">
        <v>1065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6"/>
        <v>9003.6014405762307</v>
      </c>
      <c r="L624" t="s">
        <v>1065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6"/>
        <v>7002.80112044818</v>
      </c>
      <c r="L625" t="s">
        <v>1065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6"/>
        <v>3653.6353671903548</v>
      </c>
      <c r="L626" t="s">
        <v>1065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6"/>
        <v>3901.5606242496997</v>
      </c>
      <c r="L627" t="s">
        <v>1065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6"/>
        <v>6602.6410564225689</v>
      </c>
      <c r="L628" t="s">
        <v>1067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6"/>
        <v>3901.5606242496997</v>
      </c>
      <c r="L629" t="s">
        <v>1065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6"/>
        <v>4615.9308793940118</v>
      </c>
      <c r="L630" t="s">
        <v>1065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6"/>
        <v>9787.4443895205131</v>
      </c>
      <c r="L631" t="s">
        <v>1065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6"/>
        <v>4044.1176470588239</v>
      </c>
      <c r="L632" t="s">
        <v>1065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6"/>
        <v>5194.8051948051952</v>
      </c>
      <c r="L633" t="s">
        <v>1067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6"/>
        <v>6050.4201680672268</v>
      </c>
      <c r="L634" t="s">
        <v>1067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6"/>
        <v>5176.4705882352946</v>
      </c>
      <c r="L635" t="s">
        <v>1065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6"/>
        <v>3901.5606242496997</v>
      </c>
      <c r="L636" t="s">
        <v>1065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6"/>
        <v>3972.498090145149</v>
      </c>
      <c r="L637" t="s">
        <v>1065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6"/>
        <v>3413.8655462184875</v>
      </c>
      <c r="L638" t="s">
        <v>1065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6"/>
        <v>4529.4117647058829</v>
      </c>
      <c r="L639" t="s">
        <v>1067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 t="shared" si="16"/>
        <v>31924.36974789916</v>
      </c>
      <c r="L640" t="s">
        <v>1067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1066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1066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7">G643/H643/1.19</f>
        <v>5652.6610644257707</v>
      </c>
      <c r="L643" t="s">
        <v>1067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7"/>
        <v>2764.7058823529414</v>
      </c>
      <c r="L644" t="s">
        <v>1067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7"/>
        <v>3016.8067226890757</v>
      </c>
      <c r="L645" t="s">
        <v>1064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7"/>
        <v>3397.0588235294117</v>
      </c>
      <c r="L646" t="s">
        <v>1067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7"/>
        <v>6850.0127323656734</v>
      </c>
      <c r="L647" t="s">
        <v>1067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7"/>
        <v>9253.7014805922372</v>
      </c>
      <c r="L648" t="s">
        <v>1067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7"/>
        <v>8683.4733893557441</v>
      </c>
      <c r="L649" t="s">
        <v>1064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7"/>
        <v>8835.8872960949084</v>
      </c>
      <c r="L650" t="s">
        <v>1067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7"/>
        <v>11612.978524743232</v>
      </c>
      <c r="L651" t="s">
        <v>1064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7"/>
        <v>12780.112044817928</v>
      </c>
      <c r="L652" t="s">
        <v>1067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7"/>
        <v>2103.3613445378151</v>
      </c>
      <c r="L653" t="s">
        <v>1067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7"/>
        <v>2092.4369747899159</v>
      </c>
      <c r="L654" t="s">
        <v>1067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7"/>
        <v>1887.3949579831933</v>
      </c>
      <c r="L655" t="s">
        <v>1067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7"/>
        <v>2512.6050420168067</v>
      </c>
      <c r="L656" t="s">
        <v>1067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7"/>
        <v>840.33613445378148</v>
      </c>
      <c r="L657" t="s">
        <v>1065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7"/>
        <v>840.3361344537816</v>
      </c>
      <c r="L658" t="s">
        <v>1065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7"/>
        <v>4705.8823529411766</v>
      </c>
      <c r="L659" t="s">
        <v>1067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7"/>
        <v>4705.8823529411766</v>
      </c>
      <c r="L660" t="s">
        <v>1067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7"/>
        <v>1247.2357363998231</v>
      </c>
      <c r="L661" t="s">
        <v>1067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7"/>
        <v>1247.2357363998231</v>
      </c>
      <c r="L662" t="s">
        <v>1067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7"/>
        <v>4705.8823529411766</v>
      </c>
      <c r="L663" t="s">
        <v>1067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7"/>
        <v>4705.8823529411766</v>
      </c>
      <c r="L664" t="s">
        <v>1067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7"/>
        <v>19346.405228758173</v>
      </c>
      <c r="L665" t="s">
        <v>1064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7"/>
        <v>40239.172592113777</v>
      </c>
      <c r="L666" t="s">
        <v>1067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7"/>
        <v>44201.680672268907</v>
      </c>
      <c r="L667" t="s">
        <v>1067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7"/>
        <v>4507.2574484339184</v>
      </c>
      <c r="L668" t="s">
        <v>1067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7"/>
        <v>8347.3389355742311</v>
      </c>
      <c r="L669" t="s">
        <v>1065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7"/>
        <v>5117.6470588235297</v>
      </c>
      <c r="L670" t="s">
        <v>1065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7"/>
        <v>4865.546218487395</v>
      </c>
      <c r="L671" t="s">
        <v>1067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7"/>
        <v>5117.6470588235297</v>
      </c>
      <c r="L672" t="s">
        <v>1065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7"/>
        <v>24654.999614524706</v>
      </c>
      <c r="L673" t="s">
        <v>1067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7"/>
        <v>18319.327731092439</v>
      </c>
      <c r="L674" t="s">
        <v>1067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8">G675/H675/1.19</f>
        <v>8403.361344537816</v>
      </c>
      <c r="L675" t="s">
        <v>1067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8"/>
        <v>3907.5630252100841</v>
      </c>
      <c r="L676" t="s">
        <v>1065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8"/>
        <v>6714.2857142857147</v>
      </c>
      <c r="L677" t="s">
        <v>1067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8"/>
        <v>9873.9495798319331</v>
      </c>
      <c r="L678" t="s">
        <v>1067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8"/>
        <v>14554.621848739496</v>
      </c>
      <c r="L679" t="s">
        <v>1067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8"/>
        <v>10486.274509803921</v>
      </c>
      <c r="L680" t="s">
        <v>1067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8"/>
        <v>16795.518207282916</v>
      </c>
      <c r="L681" t="s">
        <v>1067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8"/>
        <v>17942.31205995912</v>
      </c>
      <c r="L682" t="s">
        <v>1067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8"/>
        <v>9163.6654661864741</v>
      </c>
      <c r="L683" t="s">
        <v>1067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8"/>
        <v>7787.1148459383767</v>
      </c>
      <c r="L684" t="s">
        <v>1067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8"/>
        <v>13958.916900093373</v>
      </c>
      <c r="L685" t="s">
        <v>1067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8"/>
        <v>9163.6654661864741</v>
      </c>
      <c r="L686" t="s">
        <v>1067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8"/>
        <v>10266.386554621849</v>
      </c>
      <c r="L687" t="s">
        <v>1067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8"/>
        <v>7554.6218487394963</v>
      </c>
      <c r="L688" t="s">
        <v>1067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8"/>
        <v>10768.90756302521</v>
      </c>
      <c r="L689" t="s">
        <v>1067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8"/>
        <v>3941.1764705882356</v>
      </c>
      <c r="L690" t="s">
        <v>1067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8"/>
        <v>4193.2773109243699</v>
      </c>
      <c r="L691" t="s">
        <v>1067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8"/>
        <v>7478.9915966386561</v>
      </c>
      <c r="L692" t="s">
        <v>1067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8"/>
        <v>16386.55462184874</v>
      </c>
      <c r="L693" t="s">
        <v>1067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8"/>
        <v>10540.216086434575</v>
      </c>
      <c r="L694" t="s">
        <v>1064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8"/>
        <v>1941.1764705882354</v>
      </c>
      <c r="L695" t="s">
        <v>1065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8"/>
        <v>2546.2184873949582</v>
      </c>
      <c r="L696" t="s">
        <v>1065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8"/>
        <v>6827.7310924369749</v>
      </c>
      <c r="L697" t="s">
        <v>1067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8"/>
        <v>1655.4621848739496</v>
      </c>
      <c r="L698" t="s">
        <v>1064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8"/>
        <v>1396.8253968253969</v>
      </c>
      <c r="L699" t="s">
        <v>1067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8"/>
        <v>1033.6134453781513</v>
      </c>
      <c r="L700" t="s">
        <v>1065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8"/>
        <v>1427.7310924369749</v>
      </c>
      <c r="L701" t="s">
        <v>1067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8"/>
        <v>2151.2605042016808</v>
      </c>
      <c r="L702" t="s">
        <v>1064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8"/>
        <v>2151.2605042016808</v>
      </c>
      <c r="L703" t="s">
        <v>1064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8"/>
        <v>1680.6722689075632</v>
      </c>
      <c r="L704" t="s">
        <v>1065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8"/>
        <v>1396.8253968253969</v>
      </c>
      <c r="L705" t="s">
        <v>1067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8"/>
        <v>3085.7142857142858</v>
      </c>
      <c r="L706" t="s">
        <v>1064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35" si="19">G707/H707/1.19</f>
        <v>1764.7058823529412</v>
      </c>
      <c r="L707" t="s">
        <v>1065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9"/>
        <v>2856.3025210084033</v>
      </c>
      <c r="L708" t="s">
        <v>1067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9"/>
        <v>4470.588235294118</v>
      </c>
      <c r="L709" t="s">
        <v>1065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9"/>
        <v>5210.0840336134452</v>
      </c>
      <c r="L710" t="s">
        <v>1067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9"/>
        <v>3882.3529411764707</v>
      </c>
      <c r="L711" t="s">
        <v>1065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9"/>
        <v>4109.2436974789916</v>
      </c>
      <c r="L712" t="s">
        <v>1065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9"/>
        <v>4109.2436974789916</v>
      </c>
      <c r="L713" t="s">
        <v>1065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9"/>
        <v>4001.1560179627409</v>
      </c>
      <c r="L714" t="s">
        <v>1067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9"/>
        <v>939.49579831932772</v>
      </c>
      <c r="L715" t="s">
        <v>1065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9"/>
        <v>2215.1260504201682</v>
      </c>
      <c r="L716" t="s">
        <v>1067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9"/>
        <v>2308.8235294117649</v>
      </c>
      <c r="L717" t="s">
        <v>1067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9"/>
        <v>1124.3697478991596</v>
      </c>
      <c r="L718" t="s">
        <v>1067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9"/>
        <v>1006.7226890756303</v>
      </c>
      <c r="L719" t="s">
        <v>1067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9"/>
        <v>821.84873949579833</v>
      </c>
      <c r="L720" t="s">
        <v>1065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9"/>
        <v>487.39495798319331</v>
      </c>
      <c r="L721" t="s">
        <v>1064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9"/>
        <v>8193.2773109243699</v>
      </c>
      <c r="L722" t="s">
        <v>1067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9"/>
        <v>5873.9495798319331</v>
      </c>
      <c r="L723" t="s">
        <v>1067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9"/>
        <v>20059.63675792898</v>
      </c>
      <c r="L724" t="s">
        <v>1067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9"/>
        <v>8699.4383245526187</v>
      </c>
      <c r="L725" t="s">
        <v>1065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9"/>
        <v>9235.2941176470595</v>
      </c>
      <c r="L726" t="s">
        <v>1067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9"/>
        <v>6820.1680672268913</v>
      </c>
      <c r="L727" t="s">
        <v>1067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9"/>
        <v>11046.218487394959</v>
      </c>
      <c r="L728" t="s">
        <v>1067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si="19"/>
        <v>3839.2023476057088</v>
      </c>
      <c r="L729" t="s">
        <v>1067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9"/>
        <v>4968.1539282379626</v>
      </c>
      <c r="L730" t="s">
        <v>1067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 t="shared" si="19"/>
        <v>15146.546423447428</v>
      </c>
      <c r="L731" t="s">
        <v>1064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 t="shared" si="19"/>
        <v>8139.2557022809133</v>
      </c>
      <c r="L732" t="s">
        <v>1064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 t="shared" si="19"/>
        <v>14113.827349121466</v>
      </c>
      <c r="L733" t="s">
        <v>1064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 t="shared" si="19"/>
        <v>15146.546423447428</v>
      </c>
      <c r="L734" t="s">
        <v>1064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 t="shared" si="19"/>
        <v>10720.850840336136</v>
      </c>
      <c r="L735" t="s">
        <v>1067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1066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1067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1067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1065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1066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1067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1067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1066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1066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76" si="20">G745/H745/1.19</f>
        <v>14064.573197700132</v>
      </c>
      <c r="L745" t="s">
        <v>1067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20"/>
        <v>1526.6106442577031</v>
      </c>
      <c r="L746" t="s">
        <v>1064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20"/>
        <v>1526.6106442577031</v>
      </c>
      <c r="L747" t="s">
        <v>1064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20"/>
        <v>12563.025210084033</v>
      </c>
      <c r="L748" t="s">
        <v>1067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20"/>
        <v>17947.178871548618</v>
      </c>
      <c r="J749" s="3">
        <v>45952</v>
      </c>
      <c r="L749" t="s">
        <v>1065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f xml:space="preserve"> 0.9 * 12</f>
        <v>10.8</v>
      </c>
      <c r="I750">
        <f t="shared" si="20"/>
        <v>1288.5154061624651</v>
      </c>
      <c r="J750" s="3">
        <v>45952</v>
      </c>
      <c r="L750" t="s">
        <v>1065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20"/>
        <v>5182.0728291316527</v>
      </c>
      <c r="J751" s="3">
        <v>45952</v>
      </c>
      <c r="L751" t="s">
        <v>1065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20"/>
        <v>4491.5966386554628</v>
      </c>
      <c r="J752" s="3">
        <v>45952</v>
      </c>
      <c r="L752" t="s">
        <v>1065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20"/>
        <v>2773.1092436974791</v>
      </c>
      <c r="J753" s="3">
        <v>45952</v>
      </c>
      <c r="L753" t="s">
        <v>1065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20"/>
        <v>5953.712283392445</v>
      </c>
      <c r="J754" s="3">
        <v>45952</v>
      </c>
      <c r="L754" t="s">
        <v>1065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20"/>
        <v>7218.4873949579833</v>
      </c>
      <c r="J755" s="3">
        <v>45952</v>
      </c>
      <c r="L755" t="s">
        <v>1065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20"/>
        <v>3340.3361344537816</v>
      </c>
      <c r="J756" s="3">
        <v>45952</v>
      </c>
      <c r="L756" t="s">
        <v>1065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20"/>
        <v>12324.929971988797</v>
      </c>
      <c r="J757" s="3">
        <v>45952</v>
      </c>
      <c r="L757" t="s">
        <v>1065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20"/>
        <v>14705.882352941177</v>
      </c>
      <c r="J758" s="3">
        <v>45952</v>
      </c>
      <c r="L758" t="s">
        <v>1065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20"/>
        <v>13237.7656945131</v>
      </c>
      <c r="J759" s="3">
        <v>45952</v>
      </c>
      <c r="L759" t="s">
        <v>1065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20"/>
        <v>13237.7656945131</v>
      </c>
      <c r="J760" s="3">
        <v>45952</v>
      </c>
      <c r="L760" t="s">
        <v>1065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20"/>
        <v>2439.7759103641461</v>
      </c>
      <c r="J761" s="3">
        <v>45952</v>
      </c>
      <c r="L761" t="s">
        <v>1065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si="20"/>
        <v>3189.9159663865548</v>
      </c>
      <c r="J762" s="3">
        <v>45952</v>
      </c>
      <c r="L762" t="s">
        <v>1065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si="20"/>
        <v>1798.3193277310925</v>
      </c>
      <c r="J763" s="3">
        <v>45952</v>
      </c>
      <c r="L763" t="s">
        <v>1065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0"/>
        <v>3189.9159663865548</v>
      </c>
      <c r="J764" s="3">
        <v>45952</v>
      </c>
      <c r="L764" t="s">
        <v>1065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0"/>
        <v>2310.9243697478992</v>
      </c>
      <c r="J765" s="3">
        <v>45952</v>
      </c>
      <c r="L765" t="s">
        <v>1065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0"/>
        <v>1798.3193277310925</v>
      </c>
      <c r="J766" s="3">
        <v>45952</v>
      </c>
      <c r="L766" t="s">
        <v>1065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0"/>
        <v>1369.747899159664</v>
      </c>
      <c r="J767" s="3">
        <v>45952</v>
      </c>
      <c r="L767" t="s">
        <v>1065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0"/>
        <v>1369.747899159664</v>
      </c>
      <c r="J768" s="3">
        <v>45952</v>
      </c>
      <c r="L768" t="s">
        <v>1065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0"/>
        <v>764.70588235294122</v>
      </c>
      <c r="J769" s="3">
        <v>45952</v>
      </c>
      <c r="L769" t="s">
        <v>1065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0"/>
        <v>1369.747899159664</v>
      </c>
      <c r="J770" s="3">
        <v>45952</v>
      </c>
      <c r="L770" t="s">
        <v>1065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0"/>
        <v>6462.1848739495799</v>
      </c>
      <c r="J771" s="3">
        <v>45952</v>
      </c>
      <c r="L771" t="s">
        <v>1065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0"/>
        <v>3252.1008403361348</v>
      </c>
      <c r="J772" s="3">
        <v>45952</v>
      </c>
      <c r="L772" t="s">
        <v>1065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0"/>
        <v>14277.310924369749</v>
      </c>
      <c r="J773" s="3">
        <v>45952</v>
      </c>
      <c r="L773" t="s">
        <v>1065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si="20"/>
        <v>10915.966386554623</v>
      </c>
      <c r="J774" s="3">
        <v>45952</v>
      </c>
      <c r="L774" t="s">
        <v>1065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0"/>
        <v>3324.3697478991598</v>
      </c>
      <c r="J775" s="3">
        <v>45952</v>
      </c>
      <c r="L775" t="s">
        <v>1065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0"/>
        <v>1554.6218487394958</v>
      </c>
      <c r="J776" s="3">
        <v>45952</v>
      </c>
      <c r="L776" t="s">
        <v>1065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ref="I777:I808" si="21">G777/H777/1.19</f>
        <v>1554.6218487394958</v>
      </c>
      <c r="J777" s="3">
        <v>45952</v>
      </c>
      <c r="L777" t="s">
        <v>1065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1"/>
        <v>1554.6218487394958</v>
      </c>
      <c r="J778" s="3">
        <v>45952</v>
      </c>
      <c r="L778" t="s">
        <v>1065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1"/>
        <v>1951.4472455648927</v>
      </c>
      <c r="J779" s="3">
        <v>45952</v>
      </c>
      <c r="L779" t="s">
        <v>1065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1"/>
        <v>20140.056022408964</v>
      </c>
      <c r="J780" s="3">
        <v>45952</v>
      </c>
      <c r="L780" t="s">
        <v>1065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1"/>
        <v>6462.1848739495799</v>
      </c>
      <c r="J781" s="3">
        <v>45952</v>
      </c>
      <c r="L781" t="s">
        <v>1065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1"/>
        <v>4096.6386554621849</v>
      </c>
      <c r="J782" s="3">
        <v>45952</v>
      </c>
      <c r="L782" t="s">
        <v>1065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1"/>
        <v>16106.442577030813</v>
      </c>
      <c r="J783" s="3">
        <v>45952</v>
      </c>
      <c r="L783" t="s">
        <v>1065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1"/>
        <v>1008.4033613445379</v>
      </c>
      <c r="J784" s="3">
        <v>45952</v>
      </c>
      <c r="L784" t="s">
        <v>1065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1"/>
        <v>15117.64705882353</v>
      </c>
      <c r="J785" s="3">
        <v>45952</v>
      </c>
      <c r="L785" t="s">
        <v>1065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1"/>
        <v>907.56302521008411</v>
      </c>
      <c r="J786" s="3">
        <v>45952</v>
      </c>
      <c r="L786" t="s">
        <v>1065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1"/>
        <v>907.56302521008411</v>
      </c>
      <c r="J787" s="3">
        <v>45952</v>
      </c>
      <c r="L787" t="s">
        <v>1065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 t="shared" si="21"/>
        <v>1974.7899159663866</v>
      </c>
      <c r="J788" s="3">
        <v>45952</v>
      </c>
      <c r="L788" t="s">
        <v>1065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si="21"/>
        <v>9746.2184873949591</v>
      </c>
      <c r="J789" s="3">
        <v>45952</v>
      </c>
      <c r="L789" t="s">
        <v>1065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 t="shared" si="21"/>
        <v>2033.6134453781513</v>
      </c>
      <c r="J790" s="3">
        <v>45952</v>
      </c>
      <c r="L790" t="s">
        <v>1065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 t="shared" si="21"/>
        <v>2033.6134453781513</v>
      </c>
      <c r="J791" s="3">
        <v>45952</v>
      </c>
      <c r="L791" t="s">
        <v>1065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si="21"/>
        <v>3781.5126050420172</v>
      </c>
      <c r="J792" s="3">
        <v>45952</v>
      </c>
      <c r="L792" t="s">
        <v>1065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1"/>
        <v>5042.0168067226896</v>
      </c>
      <c r="J793" s="3">
        <v>45952</v>
      </c>
      <c r="L793" t="s">
        <v>1065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 t="shared" si="21"/>
        <v>2773.1092436974791</v>
      </c>
      <c r="J794" s="3">
        <v>45952</v>
      </c>
      <c r="L794" t="s">
        <v>1065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 t="shared" si="21"/>
        <v>31932.773109243699</v>
      </c>
      <c r="J795" s="3">
        <v>45952</v>
      </c>
      <c r="L795" t="s">
        <v>1065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si="21"/>
        <v>69118.556513514501</v>
      </c>
      <c r="J796" s="3">
        <v>45952</v>
      </c>
      <c r="L796" t="s">
        <v>1065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 t="shared" si="21"/>
        <v>2264.6346674262927</v>
      </c>
      <c r="J797" s="3">
        <v>45952</v>
      </c>
      <c r="L797" t="s">
        <v>1065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si="21"/>
        <v>5201.680672268908</v>
      </c>
      <c r="J798" s="3">
        <v>45952</v>
      </c>
      <c r="L798" t="s">
        <v>1065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 t="shared" si="21"/>
        <v>5285.7142857142862</v>
      </c>
      <c r="J799" s="3">
        <v>45952</v>
      </c>
      <c r="L799" t="s">
        <v>1065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 t="shared" si="21"/>
        <v>8941.176470588236</v>
      </c>
      <c r="J800" s="3">
        <v>45952</v>
      </c>
      <c r="L800" t="s">
        <v>1065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 t="shared" si="21"/>
        <v>24898.848428260193</v>
      </c>
      <c r="J801" s="3">
        <v>45952</v>
      </c>
      <c r="L801" t="s">
        <v>1065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 t="shared" si="21"/>
        <v>596.63865546218494</v>
      </c>
      <c r="J802" s="3">
        <v>45952</v>
      </c>
      <c r="L802" t="s">
        <v>1065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si="21"/>
        <v>4166.666666666667</v>
      </c>
      <c r="J803" s="3">
        <v>45952</v>
      </c>
      <c r="L803" t="s">
        <v>1065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1"/>
        <v>4201.680672268908</v>
      </c>
      <c r="J804" s="3">
        <v>45952</v>
      </c>
      <c r="L804" t="s">
        <v>1065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si="21"/>
        <v>4159.6638655462184</v>
      </c>
      <c r="J805" s="3">
        <v>45952</v>
      </c>
      <c r="L805" t="s">
        <v>1065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1"/>
        <v>4771.908763505402</v>
      </c>
      <c r="J806" s="3">
        <v>45952</v>
      </c>
      <c r="L806" t="s">
        <v>1065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1"/>
        <v>6350.5402160864351</v>
      </c>
      <c r="J807" s="3">
        <v>45952</v>
      </c>
      <c r="L807" t="s">
        <v>1065</v>
      </c>
    </row>
    <row r="808" spans="1:12" x14ac:dyDescent="0.35">
      <c r="A808" s="9">
        <v>150001954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1"/>
        <v>6462.1848739495799</v>
      </c>
      <c r="J808" s="3">
        <v>45952</v>
      </c>
      <c r="L808" t="s">
        <v>1065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ref="I809:I818" si="22">G809/H809/1.19</f>
        <v>8865.5462184873959</v>
      </c>
      <c r="J809" s="3">
        <v>45952</v>
      </c>
      <c r="L809" t="s">
        <v>1065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2"/>
        <v>3016.8067226890757</v>
      </c>
      <c r="J810" s="3">
        <v>45952</v>
      </c>
      <c r="L810" t="s">
        <v>1065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si="22"/>
        <v>6086.0707919531451</v>
      </c>
      <c r="J811" s="3">
        <v>45952</v>
      </c>
      <c r="L811" t="s">
        <v>1065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2"/>
        <v>7264.2390289449104</v>
      </c>
      <c r="J812" s="3">
        <v>45952</v>
      </c>
      <c r="L812" t="s">
        <v>1065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2"/>
        <v>6979.4584500466863</v>
      </c>
      <c r="J813" s="3">
        <v>45952</v>
      </c>
      <c r="L813" t="s">
        <v>1065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2"/>
        <v>6979.4584500466863</v>
      </c>
      <c r="J814" s="3">
        <v>45952</v>
      </c>
      <c r="L814" t="s">
        <v>1065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 t="shared" si="22"/>
        <v>8015.5138978668401</v>
      </c>
      <c r="J815" s="3">
        <v>45953</v>
      </c>
      <c r="L815" t="s">
        <v>1065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 t="shared" si="22"/>
        <v>4347.826086956522</v>
      </c>
      <c r="J816" s="3">
        <v>45953</v>
      </c>
      <c r="L816" t="s">
        <v>1065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 t="shared" si="22"/>
        <v>1033.6134453781513</v>
      </c>
      <c r="J817" s="3">
        <v>45953</v>
      </c>
      <c r="L817" t="s">
        <v>1065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 t="shared" si="22"/>
        <v>978.7444389520515</v>
      </c>
      <c r="J818" s="3">
        <v>45954</v>
      </c>
      <c r="L818" t="s">
        <v>1065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1066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1066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1066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1066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1066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1066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1066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1066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1066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1066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1066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1066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1066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1066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1066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1066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1066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1066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1066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1066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1066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1066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1066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1066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1066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1066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1066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1066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1066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1066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H849">
        <v>0.125</v>
      </c>
      <c r="I849">
        <f>G849/H849</f>
        <v>2360</v>
      </c>
      <c r="J849" s="3">
        <v>45957</v>
      </c>
      <c r="L849" t="s">
        <v>1066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57020</v>
      </c>
      <c r="H850">
        <v>18.899999999999999</v>
      </c>
      <c r="I850">
        <f>G850/H850</f>
        <v>3016.931216931217</v>
      </c>
      <c r="J850" s="3">
        <v>45957</v>
      </c>
      <c r="L850" t="s">
        <v>1066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1066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1066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23">G853/H853/1.19</f>
        <v>56403.361344537814</v>
      </c>
      <c r="J853" s="3">
        <v>45957</v>
      </c>
      <c r="L853" t="s">
        <v>1064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23"/>
        <v>8847.5919001962029</v>
      </c>
      <c r="J854" s="3">
        <v>45957</v>
      </c>
      <c r="L854" t="s">
        <v>1064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23"/>
        <v>31084.033613445379</v>
      </c>
      <c r="J855" s="3">
        <v>45957</v>
      </c>
      <c r="L855" t="s">
        <v>1064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23"/>
        <v>31084.033613445379</v>
      </c>
      <c r="J856" s="3">
        <v>45957</v>
      </c>
      <c r="L856" t="s">
        <v>1064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23"/>
        <v>5378.1512605042017</v>
      </c>
      <c r="J857" s="3">
        <v>45958</v>
      </c>
      <c r="L857" t="s">
        <v>1064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23"/>
        <v>5164.2475171886936</v>
      </c>
      <c r="J858" s="3">
        <v>45957</v>
      </c>
      <c r="L858" t="s">
        <v>1064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23"/>
        <v>3964.8586707410236</v>
      </c>
      <c r="J859" s="3">
        <v>45958</v>
      </c>
      <c r="L859" t="s">
        <v>1064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23"/>
        <v>7116.1798052554359</v>
      </c>
      <c r="J860" s="3">
        <v>45958</v>
      </c>
      <c r="L860" t="s">
        <v>1064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23"/>
        <v>10915.966386554623</v>
      </c>
      <c r="J861" s="3">
        <v>45957</v>
      </c>
      <c r="L861" t="s">
        <v>1064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23"/>
        <v>13620.448179271711</v>
      </c>
      <c r="J862" s="3">
        <v>45957</v>
      </c>
      <c r="L862" t="s">
        <v>1064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1064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24">G864/H864/1.19</f>
        <v>9747.8991596638662</v>
      </c>
      <c r="J864" s="3">
        <v>45957</v>
      </c>
      <c r="L864" t="s">
        <v>1064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24"/>
        <v>1680.6722689075632</v>
      </c>
      <c r="J865" s="3">
        <v>45958</v>
      </c>
      <c r="L865" t="s">
        <v>1064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24"/>
        <v>2848.7394957983192</v>
      </c>
      <c r="J866" s="3">
        <v>45957</v>
      </c>
      <c r="L866" t="s">
        <v>1064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24"/>
        <v>5621.8487394957983</v>
      </c>
      <c r="J867" s="3">
        <v>45957</v>
      </c>
      <c r="L867" t="s">
        <v>1064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24"/>
        <v>5529.4117647058829</v>
      </c>
      <c r="J868" s="3">
        <v>45957</v>
      </c>
      <c r="L868" t="s">
        <v>1064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24"/>
        <v>17638.655462184874</v>
      </c>
      <c r="J869" s="3">
        <v>45957</v>
      </c>
      <c r="L869" t="s">
        <v>1064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24"/>
        <v>14756.302521008403</v>
      </c>
      <c r="J870" s="3">
        <v>45957</v>
      </c>
      <c r="L870" t="s">
        <v>1064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24"/>
        <v>6572.6290516206482</v>
      </c>
      <c r="J871" s="3">
        <v>45958</v>
      </c>
      <c r="L871" t="s">
        <v>1064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24"/>
        <v>1000</v>
      </c>
      <c r="J872" s="3">
        <v>45957</v>
      </c>
      <c r="L872" t="s">
        <v>1064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24"/>
        <v>1924.3697478991598</v>
      </c>
      <c r="J873" s="3">
        <v>45957</v>
      </c>
      <c r="L873" t="s">
        <v>1064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24"/>
        <v>1672.2689075630253</v>
      </c>
      <c r="J874" s="3">
        <v>45957</v>
      </c>
      <c r="L874" t="s">
        <v>1064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24"/>
        <v>2092.4369747899159</v>
      </c>
      <c r="J875" s="3">
        <v>45957</v>
      </c>
      <c r="L875" t="s">
        <v>1064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24"/>
        <v>6260.5042016806728</v>
      </c>
      <c r="J876" s="3">
        <v>45958</v>
      </c>
      <c r="L876" t="s">
        <v>1064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24"/>
        <v>5322.1288515406159</v>
      </c>
      <c r="J877" s="3">
        <v>45958</v>
      </c>
      <c r="L877" t="s">
        <v>1064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24"/>
        <v>2176.4705882352941</v>
      </c>
      <c r="J878" s="3">
        <v>45958</v>
      </c>
      <c r="L878" t="s">
        <v>1064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24"/>
        <v>2289.9159663865548</v>
      </c>
      <c r="J879" s="3">
        <v>45958</v>
      </c>
      <c r="L879" t="s">
        <v>1064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24"/>
        <v>4323.6649498509078</v>
      </c>
      <c r="J880" s="3">
        <v>45957</v>
      </c>
      <c r="L880" t="s">
        <v>1064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24"/>
        <v>1831.9327731092437</v>
      </c>
      <c r="J881" s="3">
        <v>45957</v>
      </c>
      <c r="L881" t="s">
        <v>1064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24"/>
        <v>4550.938763414686</v>
      </c>
      <c r="J882" s="3">
        <v>45958</v>
      </c>
      <c r="L882" t="s">
        <v>1064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24"/>
        <v>6986.1277844471124</v>
      </c>
      <c r="J883" s="3">
        <v>45958</v>
      </c>
      <c r="L883" t="s">
        <v>1064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24"/>
        <v>14180.672268907563</v>
      </c>
      <c r="J884" s="3">
        <v>45957</v>
      </c>
      <c r="L884" t="s">
        <v>1064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24"/>
        <v>966.38655462184875</v>
      </c>
      <c r="J885" s="3">
        <v>45957</v>
      </c>
      <c r="L885" t="s">
        <v>1064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24"/>
        <v>1109.2436974789916</v>
      </c>
      <c r="J886" s="3">
        <v>45957</v>
      </c>
      <c r="L886" t="s">
        <v>1064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24"/>
        <v>3907.5630252100841</v>
      </c>
      <c r="J887" s="3">
        <v>45957</v>
      </c>
      <c r="L887" t="s">
        <v>1064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24"/>
        <v>2176.4705882352941</v>
      </c>
      <c r="J888" s="3">
        <v>45957</v>
      </c>
      <c r="L888" t="s">
        <v>1064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24"/>
        <v>16789.915966386554</v>
      </c>
      <c r="J889" s="3">
        <v>45957</v>
      </c>
      <c r="L889" t="s">
        <v>1064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24"/>
        <v>41613.445378151264</v>
      </c>
      <c r="J890" s="3">
        <v>45958</v>
      </c>
      <c r="L890" t="s">
        <v>1064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24"/>
        <v>9243.6974789915967</v>
      </c>
      <c r="J891" s="3">
        <v>45958</v>
      </c>
      <c r="L891" t="s">
        <v>1064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24"/>
        <v>9243.6974789915967</v>
      </c>
      <c r="J892" s="3">
        <v>45958</v>
      </c>
      <c r="L892" t="s">
        <v>1064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24"/>
        <v>9714.2857142857156</v>
      </c>
      <c r="J893" s="3">
        <v>45958</v>
      </c>
      <c r="L893" t="s">
        <v>1064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24"/>
        <v>11731.09243697479</v>
      </c>
      <c r="J894" s="3">
        <v>45958</v>
      </c>
      <c r="L894" t="s">
        <v>1064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24"/>
        <v>2138.1886087768439</v>
      </c>
      <c r="J895" s="3">
        <v>45958</v>
      </c>
      <c r="L895" t="s">
        <v>1064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24"/>
        <v>5448.1792717086846</v>
      </c>
      <c r="J896" s="3">
        <v>45958</v>
      </c>
      <c r="L896" t="s">
        <v>1064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24"/>
        <v>4544.8179271708686</v>
      </c>
      <c r="J897" s="3">
        <v>45958</v>
      </c>
      <c r="L897" t="s">
        <v>1064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24"/>
        <v>12545.018007202882</v>
      </c>
      <c r="J898" s="3">
        <v>45958</v>
      </c>
      <c r="L898" t="s">
        <v>1064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24"/>
        <v>9033.6134453781524</v>
      </c>
      <c r="J899" s="3">
        <v>45958</v>
      </c>
      <c r="L899" t="s">
        <v>1064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24"/>
        <v>5762.3049219687873</v>
      </c>
      <c r="J900" s="3">
        <v>45958</v>
      </c>
      <c r="L900" t="s">
        <v>1064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24"/>
        <v>5762.3049219687873</v>
      </c>
      <c r="J901" s="3">
        <v>45958</v>
      </c>
      <c r="L901" t="s">
        <v>1064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24"/>
        <v>6864.7177180731451</v>
      </c>
      <c r="J902" s="3">
        <v>45958</v>
      </c>
      <c r="L902" t="s">
        <v>1064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24"/>
        <v>13741.967375185368</v>
      </c>
      <c r="J903" s="3">
        <v>45958</v>
      </c>
      <c r="L903" t="s">
        <v>1064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24"/>
        <v>5514.7058823529414</v>
      </c>
      <c r="J904" s="3">
        <v>45958</v>
      </c>
      <c r="L904" t="s">
        <v>1064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1064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25">G906/H906/1.19</f>
        <v>6453.7815126050427</v>
      </c>
      <c r="J906" s="3">
        <v>45958</v>
      </c>
      <c r="L906" t="s">
        <v>1064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25"/>
        <v>6453.7815126050427</v>
      </c>
      <c r="J907" s="3">
        <v>45958</v>
      </c>
      <c r="L907" t="s">
        <v>1064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25"/>
        <v>5762.3049219687873</v>
      </c>
      <c r="J908" s="3">
        <v>45958</v>
      </c>
      <c r="L908" t="s">
        <v>1064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25"/>
        <v>6264.3239113827358</v>
      </c>
      <c r="J909" s="3">
        <v>45958</v>
      </c>
      <c r="L909" t="s">
        <v>1064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25"/>
        <v>5204.6625101653572</v>
      </c>
      <c r="J910" s="3">
        <v>45958</v>
      </c>
      <c r="L910" t="s">
        <v>1064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25"/>
        <v>1764.7058823529412</v>
      </c>
      <c r="J911" s="3">
        <v>45958</v>
      </c>
      <c r="L911" t="s">
        <v>1064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25"/>
        <v>1764.7058823529412</v>
      </c>
      <c r="J912" s="3">
        <v>45958</v>
      </c>
      <c r="L912" t="s">
        <v>1064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25"/>
        <v>3243.6974789915967</v>
      </c>
      <c r="J913" s="3">
        <v>45958</v>
      </c>
      <c r="L913" t="s">
        <v>1064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1064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26">G915/H915/1.19</f>
        <v>3844.5378151260506</v>
      </c>
      <c r="J915" s="3">
        <v>45958</v>
      </c>
      <c r="L915" t="s">
        <v>1064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26"/>
        <v>8453.3813525410169</v>
      </c>
      <c r="J916" s="3">
        <v>45958</v>
      </c>
      <c r="L916" t="s">
        <v>1064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26"/>
        <v>9862.2782446311867</v>
      </c>
      <c r="J917" s="3">
        <v>45958</v>
      </c>
      <c r="L917" t="s">
        <v>1064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26"/>
        <v>1867.4136321195144</v>
      </c>
      <c r="J918" s="3">
        <v>45958</v>
      </c>
      <c r="L918" t="s">
        <v>1064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26"/>
        <v>13378.151260504203</v>
      </c>
      <c r="J919" s="3">
        <v>45958</v>
      </c>
      <c r="L919" t="s">
        <v>1064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26"/>
        <v>3100.840336134454</v>
      </c>
      <c r="J920" s="3">
        <v>45958</v>
      </c>
      <c r="L920" t="s">
        <v>1064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1207</v>
      </c>
      <c r="G921">
        <v>1597</v>
      </c>
      <c r="H921">
        <v>1</v>
      </c>
      <c r="I921">
        <f t="shared" si="26"/>
        <v>1342.0168067226891</v>
      </c>
      <c r="J921" s="3">
        <v>45958</v>
      </c>
      <c r="L921" t="s">
        <v>1066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1047</v>
      </c>
      <c r="G922">
        <v>6150</v>
      </c>
      <c r="H922">
        <v>1</v>
      </c>
      <c r="I922">
        <f t="shared" si="26"/>
        <v>5168.0672268907565</v>
      </c>
      <c r="J922" s="3">
        <v>45958</v>
      </c>
      <c r="L922" t="s">
        <v>1064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1048</v>
      </c>
      <c r="G923">
        <v>13450</v>
      </c>
      <c r="H923">
        <v>0.15</v>
      </c>
      <c r="I923">
        <f t="shared" si="26"/>
        <v>75350.140056022414</v>
      </c>
      <c r="J923" s="3">
        <v>45958</v>
      </c>
      <c r="L923" t="s">
        <v>1064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1049</v>
      </c>
      <c r="G924">
        <v>1000</v>
      </c>
      <c r="H924">
        <v>0.1</v>
      </c>
      <c r="I924">
        <f t="shared" si="26"/>
        <v>8403.361344537816</v>
      </c>
      <c r="J924" s="3">
        <v>45958</v>
      </c>
      <c r="L924" t="s">
        <v>1064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1050</v>
      </c>
      <c r="G925">
        <v>1000</v>
      </c>
      <c r="H925">
        <v>0.1</v>
      </c>
      <c r="I925">
        <f t="shared" si="26"/>
        <v>8403.361344537816</v>
      </c>
      <c r="J925" s="3">
        <v>45958</v>
      </c>
      <c r="L925" t="s">
        <v>1064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1051</v>
      </c>
      <c r="G926">
        <v>2660</v>
      </c>
      <c r="H926">
        <v>2.8000000000000001E-2</v>
      </c>
      <c r="I926">
        <f t="shared" si="26"/>
        <v>79831.932773109249</v>
      </c>
      <c r="J926" s="3">
        <v>45958</v>
      </c>
      <c r="L926" t="s">
        <v>1064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1052</v>
      </c>
      <c r="G927">
        <v>430</v>
      </c>
      <c r="H927">
        <v>1.4999999999999999E-2</v>
      </c>
      <c r="I927">
        <f t="shared" si="26"/>
        <v>24089.635854341737</v>
      </c>
      <c r="J927" s="3">
        <v>45958</v>
      </c>
      <c r="L927" t="s">
        <v>1064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1053</v>
      </c>
      <c r="G928">
        <v>550</v>
      </c>
      <c r="H928">
        <v>1.4999999999999999E-2</v>
      </c>
      <c r="I928">
        <f t="shared" si="26"/>
        <v>30812.324929971994</v>
      </c>
      <c r="J928" s="3">
        <v>45958</v>
      </c>
      <c r="L928" t="s">
        <v>1064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1054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1064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1055</v>
      </c>
      <c r="G930">
        <v>3850</v>
      </c>
      <c r="H930">
        <v>0.45</v>
      </c>
      <c r="I930">
        <f t="shared" ref="I930:I938" si="27">G930/H930/1.19</f>
        <v>7189.5424836601305</v>
      </c>
      <c r="J930" s="3">
        <v>45958</v>
      </c>
      <c r="L930" t="s">
        <v>1064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1056</v>
      </c>
      <c r="G931">
        <v>1820</v>
      </c>
      <c r="H931">
        <v>0.5</v>
      </c>
      <c r="I931">
        <f t="shared" si="27"/>
        <v>3058.8235294117649</v>
      </c>
      <c r="J931" s="3">
        <v>45958</v>
      </c>
      <c r="L931" t="s">
        <v>1064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1056</v>
      </c>
      <c r="G932">
        <v>1820</v>
      </c>
      <c r="H932">
        <v>0.5</v>
      </c>
      <c r="I932">
        <f t="shared" si="27"/>
        <v>3058.8235294117649</v>
      </c>
      <c r="J932" s="3">
        <v>45958</v>
      </c>
      <c r="L932" t="s">
        <v>1064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1057</v>
      </c>
      <c r="G933">
        <v>1950</v>
      </c>
      <c r="H933">
        <v>0.9</v>
      </c>
      <c r="I933">
        <f t="shared" si="27"/>
        <v>1820.7282913165266</v>
      </c>
      <c r="J933" s="3">
        <v>45958</v>
      </c>
      <c r="L933" t="s">
        <v>1064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1058</v>
      </c>
      <c r="G934">
        <v>320</v>
      </c>
      <c r="H934">
        <v>0.125</v>
      </c>
      <c r="I934">
        <f t="shared" si="27"/>
        <v>2151.2605042016808</v>
      </c>
      <c r="J934" s="3">
        <v>45958</v>
      </c>
      <c r="L934" t="s">
        <v>1064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1059</v>
      </c>
      <c r="G935">
        <v>4590</v>
      </c>
      <c r="H935">
        <v>1</v>
      </c>
      <c r="I935">
        <f t="shared" si="27"/>
        <v>3857.1428571428573</v>
      </c>
      <c r="J935" s="3">
        <v>45958</v>
      </c>
      <c r="L935" t="s">
        <v>1064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1060</v>
      </c>
      <c r="G936">
        <v>1950</v>
      </c>
      <c r="H936">
        <v>0.5</v>
      </c>
      <c r="I936">
        <f t="shared" si="27"/>
        <v>3277.3109243697481</v>
      </c>
      <c r="J936" s="3">
        <v>45958</v>
      </c>
      <c r="L936" t="s">
        <v>1064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1061</v>
      </c>
      <c r="G937">
        <v>990</v>
      </c>
      <c r="H937">
        <v>0.5</v>
      </c>
      <c r="I937">
        <f t="shared" si="27"/>
        <v>1663.8655462184875</v>
      </c>
      <c r="J937" s="3">
        <v>45958</v>
      </c>
      <c r="L937" t="s">
        <v>1064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1062</v>
      </c>
      <c r="G938">
        <v>1690</v>
      </c>
      <c r="H938">
        <v>9.5000000000000001E-2</v>
      </c>
      <c r="I938">
        <f t="shared" si="27"/>
        <v>14949.137549756746</v>
      </c>
      <c r="J938" s="3">
        <v>45958</v>
      </c>
      <c r="L938" t="s">
        <v>1064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1068</v>
      </c>
      <c r="G939">
        <v>6153</v>
      </c>
      <c r="H939">
        <v>1</v>
      </c>
      <c r="I939" s="5">
        <f t="shared" ref="I939:I970" si="28">G939/H939</f>
        <v>6153</v>
      </c>
      <c r="J939" s="3">
        <v>45960</v>
      </c>
      <c r="L939" t="s">
        <v>1066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1069</v>
      </c>
      <c r="G940">
        <v>7431</v>
      </c>
      <c r="H940">
        <f>_xlfn.XLOOKUP(A940,'[1]BD LP'!$B:$B,'[1]BD LP'!$AC:$AC)</f>
        <v>1</v>
      </c>
      <c r="I940" s="5">
        <f t="shared" si="28"/>
        <v>7431</v>
      </c>
      <c r="J940" s="3">
        <v>45960</v>
      </c>
      <c r="L940" t="s">
        <v>1066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1070</v>
      </c>
      <c r="G941">
        <v>7932</v>
      </c>
      <c r="H941">
        <v>1</v>
      </c>
      <c r="I941" s="5">
        <f t="shared" si="28"/>
        <v>7932</v>
      </c>
      <c r="J941" s="3">
        <v>45960</v>
      </c>
      <c r="L941" t="s">
        <v>1066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1071</v>
      </c>
      <c r="G942">
        <v>19566</v>
      </c>
      <c r="H942">
        <v>2.27</v>
      </c>
      <c r="I942" s="5">
        <f t="shared" si="28"/>
        <v>8619.3832599118941</v>
      </c>
      <c r="J942" s="3">
        <v>45960</v>
      </c>
      <c r="L942" t="s">
        <v>1066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1262</v>
      </c>
      <c r="G943">
        <v>3447</v>
      </c>
      <c r="H943">
        <v>2</v>
      </c>
      <c r="I943" s="5">
        <f t="shared" si="28"/>
        <v>1723.5</v>
      </c>
      <c r="J943" s="3">
        <v>45960</v>
      </c>
      <c r="L943" t="s">
        <v>1066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1073</v>
      </c>
      <c r="G944">
        <v>4000</v>
      </c>
      <c r="H944">
        <v>1</v>
      </c>
      <c r="I944" s="5">
        <f t="shared" si="28"/>
        <v>4000</v>
      </c>
      <c r="J944" s="3">
        <v>45960</v>
      </c>
      <c r="L944" t="s">
        <v>1066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1072</v>
      </c>
      <c r="G945">
        <v>3070</v>
      </c>
      <c r="H945">
        <v>2</v>
      </c>
      <c r="I945" s="5">
        <f t="shared" si="28"/>
        <v>1535</v>
      </c>
      <c r="J945" s="3">
        <v>45960</v>
      </c>
      <c r="L945" t="s">
        <v>1066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1074</v>
      </c>
      <c r="G946">
        <v>22536</v>
      </c>
      <c r="H946">
        <f>36 * 0.067</f>
        <v>2.4119999999999999</v>
      </c>
      <c r="I946" s="5">
        <f t="shared" si="28"/>
        <v>9343.2835820895525</v>
      </c>
      <c r="J946" s="3">
        <v>45960</v>
      </c>
      <c r="L946" t="s">
        <v>1066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1075</v>
      </c>
      <c r="G947">
        <v>37158</v>
      </c>
      <c r="H947">
        <f>48*0.012</f>
        <v>0.57600000000000007</v>
      </c>
      <c r="I947" s="5">
        <f t="shared" si="28"/>
        <v>64510.416666666657</v>
      </c>
      <c r="J947" s="3">
        <v>45960</v>
      </c>
      <c r="L947" t="s">
        <v>1066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1076</v>
      </c>
      <c r="G948">
        <v>27102</v>
      </c>
      <c r="H948">
        <f>90*0.02</f>
        <v>1.8</v>
      </c>
      <c r="I948" s="5">
        <f t="shared" si="28"/>
        <v>15056.666666666666</v>
      </c>
      <c r="J948" s="3">
        <v>45960</v>
      </c>
      <c r="L948" t="s">
        <v>1066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1077</v>
      </c>
      <c r="G949">
        <v>62734</v>
      </c>
      <c r="H949">
        <f>48 * 0.08</f>
        <v>3.84</v>
      </c>
      <c r="I949" s="5">
        <f t="shared" si="28"/>
        <v>16336.979166666668</v>
      </c>
      <c r="J949" s="3">
        <v>45960</v>
      </c>
      <c r="L949" t="s">
        <v>1066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1074</v>
      </c>
      <c r="G950">
        <v>22536</v>
      </c>
      <c r="H950">
        <f>36 * 0.067</f>
        <v>2.4119999999999999</v>
      </c>
      <c r="I950" s="5">
        <f t="shared" si="28"/>
        <v>9343.2835820895525</v>
      </c>
      <c r="J950" s="3">
        <v>45960</v>
      </c>
      <c r="L950" t="s">
        <v>1066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1074</v>
      </c>
      <c r="G951">
        <v>22536</v>
      </c>
      <c r="H951">
        <f>36 * 0.067</f>
        <v>2.4119999999999999</v>
      </c>
      <c r="I951" s="5">
        <f t="shared" si="28"/>
        <v>9343.2835820895525</v>
      </c>
      <c r="J951" s="3">
        <v>45960</v>
      </c>
      <c r="L951" t="s">
        <v>1066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1078</v>
      </c>
      <c r="G952">
        <v>47198</v>
      </c>
      <c r="H952">
        <f>63*0.114</f>
        <v>7.1820000000000004</v>
      </c>
      <c r="I952" s="5">
        <f t="shared" si="28"/>
        <v>6571.7070453912556</v>
      </c>
      <c r="J952" s="3">
        <v>45960</v>
      </c>
      <c r="L952" t="s">
        <v>1066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1079</v>
      </c>
      <c r="G953">
        <v>38151</v>
      </c>
      <c r="H953">
        <f>14 * 0.1</f>
        <v>1.4000000000000001</v>
      </c>
      <c r="I953" s="5">
        <f t="shared" si="28"/>
        <v>27250.714285714283</v>
      </c>
      <c r="J953" s="3">
        <v>45960</v>
      </c>
      <c r="L953" t="s">
        <v>1066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1080</v>
      </c>
      <c r="G954">
        <v>25195</v>
      </c>
      <c r="H954">
        <f>36*0.065</f>
        <v>2.34</v>
      </c>
      <c r="I954" s="5">
        <f t="shared" si="28"/>
        <v>10767.094017094018</v>
      </c>
      <c r="J954" s="3">
        <v>45960</v>
      </c>
      <c r="L954" t="s">
        <v>1066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1081</v>
      </c>
      <c r="G955">
        <v>16157</v>
      </c>
      <c r="H955">
        <f>20*0.11</f>
        <v>2.2000000000000002</v>
      </c>
      <c r="I955" s="5">
        <f t="shared" si="28"/>
        <v>7344.0909090909081</v>
      </c>
      <c r="J955" s="3">
        <v>45960</v>
      </c>
      <c r="L955" t="s">
        <v>1066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1082</v>
      </c>
      <c r="G956">
        <v>35717</v>
      </c>
      <c r="H956">
        <f>110 * 0.035</f>
        <v>3.8500000000000005</v>
      </c>
      <c r="I956" s="5">
        <f t="shared" si="28"/>
        <v>9277.1428571428551</v>
      </c>
      <c r="J956" s="3">
        <v>45960</v>
      </c>
      <c r="L956" t="s">
        <v>1066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1083</v>
      </c>
      <c r="G957">
        <v>7252</v>
      </c>
      <c r="H957">
        <v>0.35</v>
      </c>
      <c r="I957" s="5">
        <f t="shared" si="28"/>
        <v>20720</v>
      </c>
      <c r="J957" s="3">
        <v>45960</v>
      </c>
      <c r="L957" t="s">
        <v>1066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28"/>
        <v>10548.973607038122</v>
      </c>
      <c r="J958" s="3">
        <v>45960</v>
      </c>
      <c r="L958" t="s">
        <v>1066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1084</v>
      </c>
      <c r="G959">
        <v>8591</v>
      </c>
      <c r="H959">
        <v>1.36</v>
      </c>
      <c r="I959" s="5">
        <f t="shared" si="28"/>
        <v>6316.911764705882</v>
      </c>
      <c r="J959" s="3">
        <v>45960</v>
      </c>
      <c r="L959" t="s">
        <v>1066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1084</v>
      </c>
      <c r="G960">
        <v>8591</v>
      </c>
      <c r="H960">
        <v>1.36</v>
      </c>
      <c r="I960" s="5">
        <f t="shared" si="28"/>
        <v>6316.911764705882</v>
      </c>
      <c r="J960" s="3">
        <v>45960</v>
      </c>
      <c r="L960" t="s">
        <v>1066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1084</v>
      </c>
      <c r="G961">
        <v>8591</v>
      </c>
      <c r="H961">
        <v>1.36</v>
      </c>
      <c r="I961" s="5">
        <f t="shared" si="28"/>
        <v>6316.911764705882</v>
      </c>
      <c r="J961" s="3">
        <v>45960</v>
      </c>
      <c r="L961" t="s">
        <v>1066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1085</v>
      </c>
      <c r="G962">
        <v>8900</v>
      </c>
      <c r="H962">
        <v>5</v>
      </c>
      <c r="I962" s="5">
        <f t="shared" si="28"/>
        <v>1780</v>
      </c>
      <c r="J962" s="3">
        <v>45960</v>
      </c>
      <c r="L962" t="s">
        <v>1066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1086</v>
      </c>
      <c r="G963">
        <v>3090</v>
      </c>
      <c r="H963">
        <f>_xlfn.XLOOKUP(A963,'[1]BD LP'!$B:$B,'[1]BD LP'!$AC:$AC)</f>
        <v>1</v>
      </c>
      <c r="I963" s="5">
        <f t="shared" si="28"/>
        <v>3090</v>
      </c>
      <c r="J963" s="3">
        <v>45960</v>
      </c>
      <c r="L963" t="s">
        <v>1066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1087</v>
      </c>
      <c r="G964">
        <v>2990</v>
      </c>
      <c r="H964">
        <f>_xlfn.XLOOKUP(A964,'[1]BD LP'!$B:$B,'[1]BD LP'!$AC:$AC)</f>
        <v>1</v>
      </c>
      <c r="I964" s="5">
        <f t="shared" si="28"/>
        <v>2990</v>
      </c>
      <c r="J964" s="3">
        <v>45960</v>
      </c>
      <c r="L964" t="s">
        <v>1066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1088</v>
      </c>
      <c r="G965">
        <v>10190</v>
      </c>
      <c r="H965">
        <f>_xlfn.XLOOKUP(A965,'[1]BD LP'!$B:$B,'[1]BD LP'!$AC:$AC)</f>
        <v>1</v>
      </c>
      <c r="I965" s="5">
        <f t="shared" si="28"/>
        <v>10190</v>
      </c>
      <c r="J965" s="3">
        <v>45960</v>
      </c>
      <c r="L965" t="s">
        <v>1066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1089</v>
      </c>
      <c r="G966">
        <v>12090</v>
      </c>
      <c r="H966">
        <f>_xlfn.XLOOKUP(A966,'[1]BD LP'!$B:$B,'[1]BD LP'!$AC:$AC)</f>
        <v>1</v>
      </c>
      <c r="I966" s="5">
        <f t="shared" si="28"/>
        <v>12090</v>
      </c>
      <c r="J966" s="3">
        <v>45960</v>
      </c>
      <c r="L966" t="s">
        <v>1066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1090</v>
      </c>
      <c r="G967">
        <v>8590</v>
      </c>
      <c r="H967">
        <f>_xlfn.XLOOKUP(A967,'[1]BD LP'!$B:$B,'[1]BD LP'!$AC:$AC)</f>
        <v>1</v>
      </c>
      <c r="I967" s="5">
        <f t="shared" si="28"/>
        <v>8590</v>
      </c>
      <c r="J967" s="3">
        <v>45960</v>
      </c>
      <c r="L967" t="s">
        <v>1066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1091</v>
      </c>
      <c r="G968">
        <v>14059</v>
      </c>
      <c r="H968">
        <v>3</v>
      </c>
      <c r="I968" s="5">
        <f t="shared" si="28"/>
        <v>4686.333333333333</v>
      </c>
      <c r="J968" s="3">
        <v>45960</v>
      </c>
      <c r="L968" t="s">
        <v>1066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1092</v>
      </c>
      <c r="G969">
        <v>10212</v>
      </c>
      <c r="H969">
        <v>3</v>
      </c>
      <c r="I969" s="5">
        <f t="shared" si="28"/>
        <v>3404</v>
      </c>
      <c r="J969" s="3">
        <v>45960</v>
      </c>
      <c r="L969" t="s">
        <v>1066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1093</v>
      </c>
      <c r="G970">
        <v>1535</v>
      </c>
      <c r="H970">
        <v>0.93</v>
      </c>
      <c r="I970" s="5">
        <f t="shared" si="28"/>
        <v>1650.5376344086021</v>
      </c>
      <c r="J970" s="3">
        <v>45960</v>
      </c>
      <c r="L970" t="s">
        <v>1066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1093</v>
      </c>
      <c r="G971">
        <v>1535</v>
      </c>
      <c r="H971">
        <v>0.93</v>
      </c>
      <c r="I971" s="5">
        <f t="shared" ref="I971:I1002" si="29">G971/H971</f>
        <v>1650.5376344086021</v>
      </c>
      <c r="J971" s="3">
        <v>45960</v>
      </c>
      <c r="L971" t="s">
        <v>1066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1094</v>
      </c>
      <c r="G972">
        <v>3090</v>
      </c>
      <c r="H972">
        <v>1</v>
      </c>
      <c r="I972" s="5">
        <f t="shared" si="29"/>
        <v>3090</v>
      </c>
      <c r="J972" s="3">
        <v>45960</v>
      </c>
      <c r="L972" t="s">
        <v>1066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1095</v>
      </c>
      <c r="G973">
        <v>16114</v>
      </c>
      <c r="H973">
        <v>3.78</v>
      </c>
      <c r="I973" s="5">
        <f t="shared" si="29"/>
        <v>4262.9629629629635</v>
      </c>
      <c r="J973" s="3">
        <v>45960</v>
      </c>
      <c r="L973" t="s">
        <v>1066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29"/>
        <v>2769.5876288659792</v>
      </c>
      <c r="J974" s="3">
        <v>45960</v>
      </c>
      <c r="L974" t="s">
        <v>1066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1096</v>
      </c>
      <c r="G975">
        <v>7390</v>
      </c>
      <c r="H975">
        <v>1</v>
      </c>
      <c r="I975" s="5">
        <f t="shared" si="29"/>
        <v>7390</v>
      </c>
      <c r="J975" s="3">
        <v>45960</v>
      </c>
      <c r="L975" t="s">
        <v>1066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1097</v>
      </c>
      <c r="G976">
        <v>55919</v>
      </c>
      <c r="H976">
        <f>60*0.08</f>
        <v>4.8</v>
      </c>
      <c r="I976" s="5">
        <f t="shared" si="29"/>
        <v>11649.791666666668</v>
      </c>
      <c r="J976" s="3">
        <v>45960</v>
      </c>
      <c r="L976" t="s">
        <v>1066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1098</v>
      </c>
      <c r="G977">
        <v>27057</v>
      </c>
      <c r="H977">
        <f>180*0.045</f>
        <v>8.1</v>
      </c>
      <c r="I977" s="5">
        <f t="shared" si="29"/>
        <v>3340.3703703703704</v>
      </c>
      <c r="J977" s="3">
        <v>45960</v>
      </c>
      <c r="L977" t="s">
        <v>1066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1098</v>
      </c>
      <c r="G978">
        <v>27057</v>
      </c>
      <c r="H978">
        <f>180*0.045</f>
        <v>8.1</v>
      </c>
      <c r="I978" s="5">
        <f t="shared" si="29"/>
        <v>3340.3703703703704</v>
      </c>
      <c r="J978" s="3">
        <v>45960</v>
      </c>
      <c r="L978" t="s">
        <v>1066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1099</v>
      </c>
      <c r="G979">
        <v>3761</v>
      </c>
      <c r="H979">
        <f>0.8</f>
        <v>0.8</v>
      </c>
      <c r="I979" s="5">
        <f t="shared" si="29"/>
        <v>4701.25</v>
      </c>
      <c r="J979" s="3">
        <v>45960</v>
      </c>
      <c r="L979" t="s">
        <v>1066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1100</v>
      </c>
      <c r="G980">
        <v>7429</v>
      </c>
      <c r="H980">
        <v>2.84</v>
      </c>
      <c r="I980" s="5">
        <f t="shared" si="29"/>
        <v>2615.8450704225352</v>
      </c>
      <c r="J980" s="3">
        <v>45960</v>
      </c>
      <c r="L980" t="s">
        <v>1066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1101</v>
      </c>
      <c r="G981">
        <v>4672</v>
      </c>
      <c r="H981">
        <v>1</v>
      </c>
      <c r="I981" s="5">
        <f t="shared" si="29"/>
        <v>4672</v>
      </c>
      <c r="J981" s="3">
        <v>45960</v>
      </c>
      <c r="L981" t="s">
        <v>1066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1102</v>
      </c>
      <c r="G982">
        <v>1975</v>
      </c>
      <c r="H982">
        <v>0.8</v>
      </c>
      <c r="I982" s="5">
        <f t="shared" si="29"/>
        <v>2468.75</v>
      </c>
      <c r="J982" s="3">
        <v>45960</v>
      </c>
      <c r="L982" t="s">
        <v>1066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1100</v>
      </c>
      <c r="G983">
        <v>7429</v>
      </c>
      <c r="H983">
        <v>2.84</v>
      </c>
      <c r="I983" s="5">
        <f t="shared" si="29"/>
        <v>2615.8450704225352</v>
      </c>
      <c r="J983" s="3">
        <v>45960</v>
      </c>
      <c r="L983" t="s">
        <v>1066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1103</v>
      </c>
      <c r="G984">
        <v>32850</v>
      </c>
      <c r="H984">
        <f>_xlfn.XLOOKUP(A984,'[1]BD LP'!$B:$B,'[1]BD LP'!$AC:$AC)</f>
        <v>15</v>
      </c>
      <c r="I984" s="5">
        <f t="shared" si="29"/>
        <v>2190</v>
      </c>
      <c r="J984" s="3">
        <v>45960</v>
      </c>
      <c r="L984" t="s">
        <v>1066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1104</v>
      </c>
      <c r="G985">
        <v>30350</v>
      </c>
      <c r="H985">
        <f>_xlfn.XLOOKUP(A985,'[1]BD LP'!$B:$B,'[1]BD LP'!$AC:$AC)</f>
        <v>15</v>
      </c>
      <c r="I985" s="5">
        <f t="shared" si="29"/>
        <v>2023.3333333333333</v>
      </c>
      <c r="J985" s="3">
        <v>45960</v>
      </c>
      <c r="L985" t="s">
        <v>1066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29"/>
        <v>3450.5714285714284</v>
      </c>
      <c r="J986" s="3">
        <v>45960</v>
      </c>
      <c r="L986" t="s">
        <v>1066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1105</v>
      </c>
      <c r="G987">
        <v>1165</v>
      </c>
      <c r="H987">
        <v>0.105</v>
      </c>
      <c r="I987" s="5">
        <f t="shared" si="29"/>
        <v>11095.238095238095</v>
      </c>
      <c r="J987" s="3">
        <v>45960</v>
      </c>
      <c r="L987" t="s">
        <v>1066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1106</v>
      </c>
      <c r="G988">
        <v>11921</v>
      </c>
      <c r="H988">
        <v>1</v>
      </c>
      <c r="I988" s="5">
        <f t="shared" si="29"/>
        <v>11921</v>
      </c>
      <c r="J988" s="3">
        <v>45960</v>
      </c>
      <c r="L988" t="s">
        <v>1066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1107</v>
      </c>
      <c r="G989">
        <v>3921</v>
      </c>
      <c r="H989">
        <v>0.2</v>
      </c>
      <c r="I989" s="5">
        <f t="shared" si="29"/>
        <v>19605</v>
      </c>
      <c r="J989" s="3">
        <v>45960</v>
      </c>
      <c r="L989" t="s">
        <v>1066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1108</v>
      </c>
      <c r="G990">
        <v>5321</v>
      </c>
      <c r="H990">
        <v>0.93500000000000005</v>
      </c>
      <c r="I990" s="5">
        <f t="shared" si="29"/>
        <v>5690.909090909091</v>
      </c>
      <c r="J990" s="3">
        <v>45960</v>
      </c>
      <c r="L990" t="s">
        <v>1066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1109</v>
      </c>
      <c r="G991">
        <v>5573</v>
      </c>
      <c r="H991">
        <v>1</v>
      </c>
      <c r="I991" s="5">
        <f t="shared" si="29"/>
        <v>5573</v>
      </c>
      <c r="J991" s="3">
        <v>45960</v>
      </c>
      <c r="L991" t="s">
        <v>1066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1110</v>
      </c>
      <c r="G992">
        <v>51129</v>
      </c>
      <c r="H992">
        <f>_xlfn.XLOOKUP(A992,'[1]BD LP'!$B:$B,'[1]BD LP'!$AC:$AC)</f>
        <v>5</v>
      </c>
      <c r="I992" s="5">
        <f t="shared" si="29"/>
        <v>10225.799999999999</v>
      </c>
      <c r="J992" s="3">
        <v>45960</v>
      </c>
      <c r="L992" t="s">
        <v>1066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1111</v>
      </c>
      <c r="G993">
        <v>8606</v>
      </c>
      <c r="H993">
        <v>1</v>
      </c>
      <c r="I993" s="5">
        <f t="shared" si="29"/>
        <v>8606</v>
      </c>
      <c r="J993" s="3">
        <v>45964</v>
      </c>
      <c r="L993" t="s">
        <v>1066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1112</v>
      </c>
      <c r="G994">
        <v>4189</v>
      </c>
      <c r="H994">
        <v>1</v>
      </c>
      <c r="I994" s="5">
        <f t="shared" si="29"/>
        <v>4189</v>
      </c>
      <c r="J994" s="3">
        <v>45964</v>
      </c>
      <c r="L994" t="s">
        <v>1066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1113</v>
      </c>
      <c r="G995">
        <v>2542</v>
      </c>
      <c r="H995">
        <v>1</v>
      </c>
      <c r="I995" s="5">
        <f t="shared" si="29"/>
        <v>2542</v>
      </c>
      <c r="J995" s="3">
        <v>45964</v>
      </c>
      <c r="L995" t="s">
        <v>1066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1112</v>
      </c>
      <c r="G996">
        <v>4189</v>
      </c>
      <c r="H996">
        <v>1</v>
      </c>
      <c r="I996" s="5">
        <f t="shared" si="29"/>
        <v>4189</v>
      </c>
      <c r="J996" s="3">
        <v>45964</v>
      </c>
      <c r="L996" t="s">
        <v>1066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1114</v>
      </c>
      <c r="G997">
        <v>58199</v>
      </c>
      <c r="H997">
        <v>10</v>
      </c>
      <c r="I997" s="5">
        <f t="shared" si="29"/>
        <v>5819.9</v>
      </c>
      <c r="J997" s="3">
        <v>45964</v>
      </c>
      <c r="L997" t="s">
        <v>1066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1112</v>
      </c>
      <c r="G998">
        <v>4189</v>
      </c>
      <c r="H998">
        <v>1</v>
      </c>
      <c r="I998" s="5">
        <f t="shared" si="29"/>
        <v>4189</v>
      </c>
      <c r="J998" s="3">
        <v>45964</v>
      </c>
      <c r="L998" t="s">
        <v>1066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1115</v>
      </c>
      <c r="G999">
        <v>1926</v>
      </c>
      <c r="H999">
        <v>1</v>
      </c>
      <c r="I999" s="5">
        <f t="shared" si="29"/>
        <v>1926</v>
      </c>
      <c r="J999" s="3">
        <v>45964</v>
      </c>
      <c r="L999" t="s">
        <v>1066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1116</v>
      </c>
      <c r="G1000">
        <v>1850</v>
      </c>
      <c r="H1000">
        <v>1</v>
      </c>
      <c r="I1000" s="5">
        <f t="shared" si="29"/>
        <v>1850</v>
      </c>
      <c r="J1000" s="3">
        <v>45964</v>
      </c>
      <c r="L1000" t="s">
        <v>1066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1117</v>
      </c>
      <c r="G1001">
        <v>886</v>
      </c>
      <c r="H1001">
        <v>0.5</v>
      </c>
      <c r="I1001" s="5">
        <f t="shared" si="29"/>
        <v>1772</v>
      </c>
      <c r="J1001" s="3">
        <v>45964</v>
      </c>
      <c r="L1001" t="s">
        <v>1066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1118</v>
      </c>
      <c r="G1002">
        <v>1177</v>
      </c>
      <c r="H1002">
        <v>0.5</v>
      </c>
      <c r="I1002" s="5">
        <f t="shared" si="29"/>
        <v>2354</v>
      </c>
      <c r="J1002" s="3">
        <v>45964</v>
      </c>
      <c r="L1002" t="s">
        <v>1066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1119</v>
      </c>
      <c r="G1003">
        <v>1116</v>
      </c>
      <c r="H1003">
        <v>0.5</v>
      </c>
      <c r="I1003" s="5">
        <f t="shared" ref="I1003:I1012" si="30">G1003/H1003</f>
        <v>2232</v>
      </c>
      <c r="J1003" s="3">
        <v>45964</v>
      </c>
      <c r="L1003" t="s">
        <v>1066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1120</v>
      </c>
      <c r="G1004">
        <v>2273</v>
      </c>
      <c r="H1004">
        <v>1</v>
      </c>
      <c r="I1004" s="5">
        <f t="shared" si="30"/>
        <v>2273</v>
      </c>
      <c r="J1004" s="3">
        <v>45964</v>
      </c>
      <c r="L1004" t="s">
        <v>1066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1121</v>
      </c>
      <c r="G1005">
        <v>959</v>
      </c>
      <c r="H1005">
        <v>0.5</v>
      </c>
      <c r="I1005" s="5">
        <f t="shared" si="30"/>
        <v>1918</v>
      </c>
      <c r="J1005" s="3">
        <v>45964</v>
      </c>
      <c r="L1005" t="s">
        <v>1066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1116</v>
      </c>
      <c r="G1006">
        <v>1850</v>
      </c>
      <c r="H1006">
        <v>1</v>
      </c>
      <c r="I1006" s="5">
        <f t="shared" si="30"/>
        <v>1850</v>
      </c>
      <c r="J1006" s="3">
        <v>45964</v>
      </c>
      <c r="L1006" t="s">
        <v>1066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1122</v>
      </c>
      <c r="G1007">
        <v>6336</v>
      </c>
      <c r="H1007">
        <v>0.25</v>
      </c>
      <c r="I1007" s="5">
        <f t="shared" si="30"/>
        <v>25344</v>
      </c>
      <c r="J1007" s="3">
        <v>45964</v>
      </c>
      <c r="L1007" t="s">
        <v>1066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1123</v>
      </c>
      <c r="G1008">
        <v>13810</v>
      </c>
      <c r="H1008">
        <f>_xlfn.XLOOKUP(A1008,'[1]BD LP'!$B:$B,'[1]BD LP'!$AC:$AC)</f>
        <v>1</v>
      </c>
      <c r="I1008" s="5">
        <f t="shared" si="30"/>
        <v>13810</v>
      </c>
      <c r="J1008" s="3">
        <v>45964</v>
      </c>
      <c r="L1008" t="s">
        <v>1066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1124</v>
      </c>
      <c r="G1009">
        <v>82266</v>
      </c>
      <c r="H1009">
        <v>16</v>
      </c>
      <c r="I1009" s="5">
        <f t="shared" si="30"/>
        <v>5141.625</v>
      </c>
      <c r="J1009" s="3">
        <v>45964</v>
      </c>
      <c r="L1009" t="s">
        <v>1066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1125</v>
      </c>
      <c r="G1010">
        <v>48387</v>
      </c>
      <c r="H1010">
        <f>2*5.4</f>
        <v>10.8</v>
      </c>
      <c r="I1010" s="5">
        <f t="shared" si="30"/>
        <v>4480.2777777777774</v>
      </c>
      <c r="J1010" s="3">
        <v>45964</v>
      </c>
      <c r="L1010" t="s">
        <v>1066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1125</v>
      </c>
      <c r="G1011">
        <v>48387</v>
      </c>
      <c r="H1011">
        <f>2*5.4</f>
        <v>10.8</v>
      </c>
      <c r="I1011" s="5">
        <f t="shared" si="30"/>
        <v>4480.2777777777774</v>
      </c>
      <c r="J1011" s="3">
        <v>45964</v>
      </c>
      <c r="L1011" t="s">
        <v>1066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 t="shared" si="30"/>
        <v>4250</v>
      </c>
      <c r="J1012" s="3">
        <v>45964</v>
      </c>
      <c r="L1012" t="s">
        <v>1066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1126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1066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 t="shared" ref="I1014:I1019" si="31">G1014/H1014</f>
        <v>1845</v>
      </c>
      <c r="J1014" s="3">
        <v>45964</v>
      </c>
      <c r="L1014" t="s">
        <v>1066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1127</v>
      </c>
      <c r="G1015">
        <v>1835</v>
      </c>
      <c r="H1015">
        <v>1</v>
      </c>
      <c r="I1015" s="5">
        <f t="shared" si="31"/>
        <v>1835</v>
      </c>
      <c r="J1015" s="3">
        <v>45964</v>
      </c>
      <c r="L1015" t="s">
        <v>1066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1128</v>
      </c>
      <c r="G1016">
        <v>845</v>
      </c>
      <c r="H1016">
        <v>1</v>
      </c>
      <c r="I1016" s="5">
        <f t="shared" si="31"/>
        <v>845</v>
      </c>
      <c r="J1016" s="3">
        <v>45964</v>
      </c>
      <c r="L1016" t="s">
        <v>1066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1129</v>
      </c>
      <c r="G1017">
        <v>1749</v>
      </c>
      <c r="H1017">
        <v>1</v>
      </c>
      <c r="I1017" s="5">
        <f t="shared" si="31"/>
        <v>1749</v>
      </c>
      <c r="J1017" s="3">
        <v>45964</v>
      </c>
      <c r="L1017" t="s">
        <v>1066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1130</v>
      </c>
      <c r="G1018">
        <v>21945</v>
      </c>
      <c r="H1018">
        <v>6</v>
      </c>
      <c r="I1018" s="5">
        <f t="shared" si="31"/>
        <v>3657.5</v>
      </c>
      <c r="J1018" s="3">
        <v>45964</v>
      </c>
      <c r="L1018" t="s">
        <v>1066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1131</v>
      </c>
      <c r="G1019">
        <v>4029</v>
      </c>
      <c r="H1019">
        <v>1</v>
      </c>
      <c r="I1019" s="5">
        <f t="shared" si="31"/>
        <v>4029</v>
      </c>
      <c r="J1019" s="3">
        <v>45964</v>
      </c>
      <c r="L1019" t="s">
        <v>1066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1132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1066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1133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1066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1134</v>
      </c>
      <c r="G1022">
        <v>8944</v>
      </c>
      <c r="H1022">
        <v>1</v>
      </c>
      <c r="I1022" s="5">
        <f t="shared" ref="I1022:I1027" si="32">G1022/H1022</f>
        <v>8944</v>
      </c>
      <c r="J1022" s="3">
        <v>45964</v>
      </c>
      <c r="L1022" t="s">
        <v>1066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1135</v>
      </c>
      <c r="G1023">
        <v>7488</v>
      </c>
      <c r="H1023">
        <v>1</v>
      </c>
      <c r="I1023" s="5">
        <f t="shared" si="32"/>
        <v>7488</v>
      </c>
      <c r="J1023" s="3">
        <v>45964</v>
      </c>
      <c r="L1023" t="s">
        <v>1066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1136</v>
      </c>
      <c r="G1024">
        <v>4819</v>
      </c>
      <c r="H1024">
        <v>1</v>
      </c>
      <c r="I1024" s="5">
        <f t="shared" si="32"/>
        <v>4819</v>
      </c>
      <c r="J1024" s="3">
        <v>45964</v>
      </c>
      <c r="L1024" t="s">
        <v>1066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1137</v>
      </c>
      <c r="G1025">
        <v>4724</v>
      </c>
      <c r="H1025">
        <v>1</v>
      </c>
      <c r="I1025" s="5">
        <f t="shared" si="32"/>
        <v>4724</v>
      </c>
      <c r="J1025" s="3">
        <v>45964</v>
      </c>
      <c r="L1025" t="s">
        <v>1066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1138</v>
      </c>
      <c r="G1026">
        <v>1625</v>
      </c>
      <c r="H1026">
        <v>0.36</v>
      </c>
      <c r="I1026" s="5">
        <f t="shared" si="32"/>
        <v>4513.8888888888887</v>
      </c>
      <c r="J1026" s="3">
        <v>45964</v>
      </c>
      <c r="L1026" t="s">
        <v>1066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1139</v>
      </c>
      <c r="G1027">
        <v>872</v>
      </c>
      <c r="H1027">
        <v>0.4</v>
      </c>
      <c r="I1027" s="5">
        <f t="shared" si="32"/>
        <v>2180</v>
      </c>
      <c r="J1027" s="3">
        <v>45964</v>
      </c>
      <c r="L1027" t="s">
        <v>1066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1140</v>
      </c>
      <c r="G1028">
        <v>9998</v>
      </c>
      <c r="H1028">
        <v>5</v>
      </c>
      <c r="I1028">
        <f>G1028/H1028/1.19</f>
        <v>1680.3361344537816</v>
      </c>
      <c r="J1028" s="3">
        <v>45964</v>
      </c>
      <c r="L1028" t="s">
        <v>1066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1141</v>
      </c>
      <c r="G1029">
        <v>9724</v>
      </c>
      <c r="H1029">
        <v>5</v>
      </c>
      <c r="I1029" s="5">
        <f t="shared" ref="I1029:I1060" si="33">G1029/H1029</f>
        <v>1944.8</v>
      </c>
      <c r="J1029" s="3">
        <v>45964</v>
      </c>
      <c r="L1029" t="s">
        <v>1066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1142</v>
      </c>
      <c r="G1030">
        <v>9814</v>
      </c>
      <c r="H1030">
        <v>5</v>
      </c>
      <c r="I1030" s="5">
        <f t="shared" si="33"/>
        <v>1962.8</v>
      </c>
      <c r="J1030" s="3">
        <v>45964</v>
      </c>
      <c r="L1030" t="s">
        <v>1066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1143</v>
      </c>
      <c r="G1031">
        <v>9797</v>
      </c>
      <c r="H1031">
        <v>5</v>
      </c>
      <c r="I1031" s="5">
        <f t="shared" si="33"/>
        <v>1959.4</v>
      </c>
      <c r="J1031" s="3">
        <v>45964</v>
      </c>
      <c r="L1031" t="s">
        <v>1066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1144</v>
      </c>
      <c r="G1032">
        <v>9909</v>
      </c>
      <c r="H1032">
        <v>5</v>
      </c>
      <c r="I1032" s="5">
        <f t="shared" si="33"/>
        <v>1981.8</v>
      </c>
      <c r="J1032" s="3">
        <v>45964</v>
      </c>
      <c r="L1032" t="s">
        <v>1066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1139</v>
      </c>
      <c r="G1033">
        <v>872</v>
      </c>
      <c r="H1033">
        <v>0.4</v>
      </c>
      <c r="I1033" s="5">
        <f t="shared" si="33"/>
        <v>2180</v>
      </c>
      <c r="J1033" s="3">
        <v>45964</v>
      </c>
      <c r="L1033" t="s">
        <v>1066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1145</v>
      </c>
      <c r="G1034">
        <v>6743</v>
      </c>
      <c r="H1034">
        <v>5</v>
      </c>
      <c r="I1034" s="5">
        <f t="shared" si="33"/>
        <v>1348.6</v>
      </c>
      <c r="J1034" s="3">
        <v>45964</v>
      </c>
      <c r="L1034" t="s">
        <v>1066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1146</v>
      </c>
      <c r="G1035">
        <v>2949</v>
      </c>
      <c r="H1035">
        <v>0.9</v>
      </c>
      <c r="I1035" s="5">
        <f t="shared" si="33"/>
        <v>3276.6666666666665</v>
      </c>
      <c r="J1035" s="3">
        <v>45964</v>
      </c>
      <c r="L1035" t="s">
        <v>1066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1147</v>
      </c>
      <c r="G1036">
        <v>1500</v>
      </c>
      <c r="H1036">
        <v>1</v>
      </c>
      <c r="I1036" s="5">
        <f t="shared" si="33"/>
        <v>1500</v>
      </c>
      <c r="J1036" s="3">
        <v>45964</v>
      </c>
      <c r="L1036" t="s">
        <v>1066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1148</v>
      </c>
      <c r="G1037">
        <v>3631</v>
      </c>
      <c r="H1037">
        <v>0.5</v>
      </c>
      <c r="I1037" s="5">
        <f t="shared" si="33"/>
        <v>7262</v>
      </c>
      <c r="J1037" s="3">
        <v>45964</v>
      </c>
      <c r="L1037" t="s">
        <v>1066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1149</v>
      </c>
      <c r="G1038">
        <v>1459</v>
      </c>
      <c r="H1038">
        <v>1</v>
      </c>
      <c r="I1038" s="5">
        <f t="shared" si="33"/>
        <v>1459</v>
      </c>
      <c r="J1038" s="3">
        <v>45964</v>
      </c>
      <c r="L1038" t="s">
        <v>1066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1150</v>
      </c>
      <c r="G1039">
        <v>1765</v>
      </c>
      <c r="H1039">
        <v>0.39700000000000002</v>
      </c>
      <c r="I1039" s="5">
        <f t="shared" si="33"/>
        <v>4445.8438287153649</v>
      </c>
      <c r="J1039" s="3">
        <v>45964</v>
      </c>
      <c r="L1039" t="s">
        <v>1066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1151</v>
      </c>
      <c r="G1040">
        <v>1487</v>
      </c>
      <c r="H1040">
        <v>0.39</v>
      </c>
      <c r="I1040" s="5">
        <f t="shared" si="33"/>
        <v>3812.8205128205127</v>
      </c>
      <c r="J1040" s="3">
        <v>45964</v>
      </c>
      <c r="L1040" t="s">
        <v>1066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1150</v>
      </c>
      <c r="G1041">
        <v>1765</v>
      </c>
      <c r="H1041">
        <v>0.39700000000000002</v>
      </c>
      <c r="I1041" s="5">
        <f t="shared" si="33"/>
        <v>4445.8438287153649</v>
      </c>
      <c r="J1041" s="3">
        <v>45964</v>
      </c>
      <c r="L1041" t="s">
        <v>1066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1152</v>
      </c>
      <c r="G1042">
        <v>1043</v>
      </c>
      <c r="H1042">
        <v>0.5</v>
      </c>
      <c r="I1042" s="5">
        <f t="shared" si="33"/>
        <v>2086</v>
      </c>
      <c r="J1042" s="3">
        <v>45964</v>
      </c>
      <c r="L1042" t="s">
        <v>1066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1153</v>
      </c>
      <c r="G1043">
        <v>1869</v>
      </c>
      <c r="H1043">
        <v>1</v>
      </c>
      <c r="I1043" s="5">
        <f t="shared" si="33"/>
        <v>1869</v>
      </c>
      <c r="J1043" s="3">
        <v>45964</v>
      </c>
      <c r="L1043" t="s">
        <v>1066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1150</v>
      </c>
      <c r="G1044">
        <v>1765</v>
      </c>
      <c r="H1044">
        <v>0.39700000000000002</v>
      </c>
      <c r="I1044" s="5">
        <f t="shared" si="33"/>
        <v>4445.8438287153649</v>
      </c>
      <c r="J1044" s="3">
        <v>45964</v>
      </c>
      <c r="L1044" t="s">
        <v>1066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1152</v>
      </c>
      <c r="G1045">
        <v>1043</v>
      </c>
      <c r="H1045">
        <v>0.5</v>
      </c>
      <c r="I1045" s="5">
        <f t="shared" si="33"/>
        <v>2086</v>
      </c>
      <c r="J1045" s="3">
        <v>45964</v>
      </c>
      <c r="L1045" t="s">
        <v>1066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1154</v>
      </c>
      <c r="G1046">
        <v>8829</v>
      </c>
      <c r="H1046">
        <v>5</v>
      </c>
      <c r="I1046" s="5">
        <f t="shared" si="33"/>
        <v>1765.8</v>
      </c>
      <c r="J1046" s="3">
        <v>45964</v>
      </c>
      <c r="L1046" t="s">
        <v>1066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1155</v>
      </c>
      <c r="G1047">
        <v>8499</v>
      </c>
      <c r="H1047">
        <v>5</v>
      </c>
      <c r="I1047" s="5">
        <f t="shared" si="33"/>
        <v>1699.8</v>
      </c>
      <c r="J1047" s="3">
        <v>45964</v>
      </c>
      <c r="L1047" t="s">
        <v>1066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1156</v>
      </c>
      <c r="G1048">
        <v>5786</v>
      </c>
      <c r="H1048">
        <v>1</v>
      </c>
      <c r="I1048" s="5">
        <f t="shared" si="33"/>
        <v>5786</v>
      </c>
      <c r="J1048" s="3">
        <v>45964</v>
      </c>
      <c r="L1048" t="s">
        <v>1066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1157</v>
      </c>
      <c r="G1049">
        <v>8810</v>
      </c>
      <c r="H1049">
        <v>5</v>
      </c>
      <c r="I1049" s="5">
        <f t="shared" si="33"/>
        <v>1762</v>
      </c>
      <c r="J1049" s="3">
        <v>45964</v>
      </c>
      <c r="L1049" t="s">
        <v>1066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 t="shared" si="33"/>
        <v>5497</v>
      </c>
      <c r="J1050" s="3">
        <v>45964</v>
      </c>
      <c r="L1050" t="s">
        <v>1066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1158</v>
      </c>
      <c r="G1051">
        <v>10434</v>
      </c>
      <c r="H1051">
        <f>88 * 0.063</f>
        <v>5.5440000000000005</v>
      </c>
      <c r="I1051" s="5">
        <f t="shared" si="33"/>
        <v>1882.0346320346318</v>
      </c>
      <c r="J1051" s="3">
        <v>45964</v>
      </c>
      <c r="L1051" t="s">
        <v>1066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1159</v>
      </c>
      <c r="G1052">
        <v>13601</v>
      </c>
      <c r="H1052">
        <v>1.8</v>
      </c>
      <c r="I1052" s="5">
        <f t="shared" si="33"/>
        <v>7556.1111111111113</v>
      </c>
      <c r="J1052" s="3">
        <v>45964</v>
      </c>
      <c r="L1052" t="s">
        <v>1066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1160</v>
      </c>
      <c r="G1053">
        <v>3515</v>
      </c>
      <c r="H1053">
        <v>0.2</v>
      </c>
      <c r="I1053" s="5">
        <f t="shared" si="33"/>
        <v>17575</v>
      </c>
      <c r="J1053" s="3">
        <v>45964</v>
      </c>
      <c r="L1053" t="s">
        <v>1066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1160</v>
      </c>
      <c r="G1054">
        <v>3515</v>
      </c>
      <c r="H1054">
        <v>0.2</v>
      </c>
      <c r="I1054" s="5">
        <f t="shared" si="33"/>
        <v>17575</v>
      </c>
      <c r="J1054" s="3">
        <v>45964</v>
      </c>
      <c r="L1054" t="s">
        <v>1066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1161</v>
      </c>
      <c r="G1055">
        <v>6093</v>
      </c>
      <c r="H1055">
        <f>0.02 *5</f>
        <v>0.1</v>
      </c>
      <c r="I1055" s="5">
        <f t="shared" si="33"/>
        <v>60930</v>
      </c>
      <c r="J1055" s="3">
        <v>45964</v>
      </c>
      <c r="L1055" t="s">
        <v>1066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 t="shared" si="33"/>
        <v>1920.8333333333335</v>
      </c>
      <c r="J1056" s="3">
        <v>45964</v>
      </c>
      <c r="L1056" t="s">
        <v>1066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 t="shared" si="33"/>
        <v>1256</v>
      </c>
      <c r="J1057" s="3">
        <v>45964</v>
      </c>
      <c r="L1057" t="s">
        <v>1066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 t="shared" si="33"/>
        <v>1920.8333333333335</v>
      </c>
      <c r="J1058" s="3">
        <v>45964</v>
      </c>
      <c r="L1058" t="s">
        <v>1066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1162</v>
      </c>
      <c r="G1059">
        <v>6125</v>
      </c>
      <c r="H1059">
        <v>1</v>
      </c>
      <c r="I1059" s="5">
        <f t="shared" si="33"/>
        <v>6125</v>
      </c>
      <c r="J1059" s="3">
        <v>45964</v>
      </c>
      <c r="L1059" t="s">
        <v>1066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 t="shared" si="33"/>
        <v>1198</v>
      </c>
      <c r="J1060" s="3">
        <v>45964</v>
      </c>
      <c r="L1060" t="s">
        <v>1066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 t="shared" ref="I1061:I1092" si="34">G1061/H1061</f>
        <v>2477.3333333333335</v>
      </c>
      <c r="J1061" s="3">
        <v>45964</v>
      </c>
      <c r="L1061" t="s">
        <v>1066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1163</v>
      </c>
      <c r="G1062">
        <v>4276</v>
      </c>
      <c r="H1062">
        <v>3</v>
      </c>
      <c r="I1062" s="5">
        <f t="shared" si="34"/>
        <v>1425.3333333333333</v>
      </c>
      <c r="J1062" s="3">
        <v>45964</v>
      </c>
      <c r="L1062" t="s">
        <v>1066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 t="shared" si="34"/>
        <v>2477.3333333333335</v>
      </c>
      <c r="J1063" s="3">
        <v>45964</v>
      </c>
      <c r="L1063" t="s">
        <v>1066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1164</v>
      </c>
      <c r="G1064">
        <v>27157</v>
      </c>
      <c r="H1064">
        <f>_xlfn.XLOOKUP(A1064,'[1]BD LP'!$B:$B,'[1]BD LP'!$AC:$AC)</f>
        <v>5</v>
      </c>
      <c r="I1064" s="5">
        <f t="shared" si="34"/>
        <v>5431.4</v>
      </c>
      <c r="J1064" s="3">
        <v>45964</v>
      </c>
      <c r="L1064" t="s">
        <v>1066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1165</v>
      </c>
      <c r="G1065">
        <v>34650</v>
      </c>
      <c r="H1065">
        <v>5</v>
      </c>
      <c r="I1065" s="5">
        <f t="shared" si="34"/>
        <v>6930</v>
      </c>
      <c r="J1065" s="3">
        <v>45964</v>
      </c>
      <c r="L1065" t="s">
        <v>1066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1166</v>
      </c>
      <c r="G1066">
        <v>19986</v>
      </c>
      <c r="H1066">
        <v>4.8</v>
      </c>
      <c r="I1066" s="5">
        <f t="shared" si="34"/>
        <v>4163.75</v>
      </c>
      <c r="J1066" s="3">
        <v>45964</v>
      </c>
      <c r="L1066" t="s">
        <v>1066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 t="shared" si="34"/>
        <v>4157.7083333333339</v>
      </c>
      <c r="J1067" s="3">
        <v>45964</v>
      </c>
      <c r="L1067" t="s">
        <v>1066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1167</v>
      </c>
      <c r="G1068">
        <v>35264</v>
      </c>
      <c r="H1068">
        <f>_xlfn.XLOOKUP(A1068,'[1]BD LP'!$B:$B,'[1]BD LP'!$AC:$AC)</f>
        <v>9</v>
      </c>
      <c r="I1068" s="5">
        <f t="shared" si="34"/>
        <v>3918.2222222222222</v>
      </c>
      <c r="J1068" s="3">
        <v>45964</v>
      </c>
      <c r="L1068" t="s">
        <v>1066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1168</v>
      </c>
      <c r="G1069">
        <v>13509</v>
      </c>
      <c r="H1069">
        <f>_xlfn.XLOOKUP(A1069,'[1]BD LP'!$B:$B,'[1]BD LP'!$AC:$AC)</f>
        <v>4</v>
      </c>
      <c r="I1069" s="5">
        <f t="shared" si="34"/>
        <v>3377.25</v>
      </c>
      <c r="J1069" s="3">
        <v>45964</v>
      </c>
      <c r="L1069" t="s">
        <v>1066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1169</v>
      </c>
      <c r="G1070">
        <v>10801</v>
      </c>
      <c r="H1070">
        <f>_xlfn.XLOOKUP(A1070,'[1]BD LP'!$B:$B,'[1]BD LP'!$AC:$AC)</f>
        <v>4</v>
      </c>
      <c r="I1070" s="5">
        <f t="shared" si="34"/>
        <v>2700.25</v>
      </c>
      <c r="J1070" s="3">
        <v>45964</v>
      </c>
      <c r="L1070" t="s">
        <v>1066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1170</v>
      </c>
      <c r="G1071">
        <v>9928</v>
      </c>
      <c r="H1071">
        <f>_xlfn.XLOOKUP(A1071,'[1]BD LP'!$B:$B,'[1]BD LP'!$AC:$AC)</f>
        <v>4</v>
      </c>
      <c r="I1071" s="5">
        <f t="shared" si="34"/>
        <v>2482</v>
      </c>
      <c r="J1071" s="3">
        <v>45964</v>
      </c>
      <c r="L1071" t="s">
        <v>1066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1171</v>
      </c>
      <c r="G1072">
        <v>18839</v>
      </c>
      <c r="H1072">
        <f>_xlfn.XLOOKUP(A1072,'[1]BD LP'!$B:$B,'[1]BD LP'!$AC:$AC)</f>
        <v>3.5</v>
      </c>
      <c r="I1072" s="5">
        <f t="shared" si="34"/>
        <v>5382.5714285714284</v>
      </c>
      <c r="J1072" s="3">
        <v>45964</v>
      </c>
      <c r="L1072" t="s">
        <v>1066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34"/>
        <v>4354.166666666667</v>
      </c>
      <c r="J1073" s="3">
        <v>45964</v>
      </c>
      <c r="L1073" t="s">
        <v>1066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1172</v>
      </c>
      <c r="G1074">
        <v>7622</v>
      </c>
      <c r="H1074">
        <f>_xlfn.XLOOKUP(A1074,'[1]BD LP'!$B:$B,'[1]BD LP'!$AC:$AC)</f>
        <v>3</v>
      </c>
      <c r="I1074" s="5">
        <f t="shared" si="34"/>
        <v>2540.6666666666665</v>
      </c>
      <c r="J1074" s="3">
        <v>45964</v>
      </c>
      <c r="L1074" t="s">
        <v>1066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1173</v>
      </c>
      <c r="G1075">
        <v>13605</v>
      </c>
      <c r="H1075">
        <v>0.42</v>
      </c>
      <c r="I1075" s="5">
        <f t="shared" si="34"/>
        <v>32392.857142857145</v>
      </c>
      <c r="J1075" s="3">
        <v>45964</v>
      </c>
      <c r="L1075" t="s">
        <v>1066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 t="shared" si="34"/>
        <v>62793.209876543209</v>
      </c>
      <c r="J1076" s="3">
        <v>45964</v>
      </c>
      <c r="L1076" t="s">
        <v>1066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1174</v>
      </c>
      <c r="G1077">
        <v>738</v>
      </c>
      <c r="H1077">
        <v>0.42499999999999999</v>
      </c>
      <c r="I1077" s="5">
        <f t="shared" si="34"/>
        <v>1736.4705882352941</v>
      </c>
      <c r="J1077" s="3">
        <v>45964</v>
      </c>
      <c r="L1077" t="s">
        <v>1066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1175</v>
      </c>
      <c r="G1078">
        <v>8320</v>
      </c>
      <c r="H1078">
        <v>3</v>
      </c>
      <c r="I1078" s="5">
        <f t="shared" si="34"/>
        <v>2773.3333333333335</v>
      </c>
      <c r="J1078" s="3">
        <v>45964</v>
      </c>
      <c r="L1078" t="s">
        <v>1066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1176</v>
      </c>
      <c r="G1079">
        <v>766</v>
      </c>
      <c r="H1079">
        <v>0.42499999999999999</v>
      </c>
      <c r="I1079" s="5">
        <f t="shared" si="34"/>
        <v>1802.3529411764707</v>
      </c>
      <c r="J1079" s="3">
        <v>45964</v>
      </c>
      <c r="L1079" t="s">
        <v>1066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1175</v>
      </c>
      <c r="G1080">
        <v>8320</v>
      </c>
      <c r="H1080">
        <v>3</v>
      </c>
      <c r="I1080" s="5">
        <f t="shared" si="34"/>
        <v>2773.3333333333335</v>
      </c>
      <c r="J1080" s="3">
        <v>45964</v>
      </c>
      <c r="L1080" t="s">
        <v>1066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1177</v>
      </c>
      <c r="G1081">
        <v>7754</v>
      </c>
      <c r="H1081">
        <v>3</v>
      </c>
      <c r="I1081" s="5">
        <f t="shared" si="34"/>
        <v>2584.6666666666665</v>
      </c>
      <c r="J1081" s="3">
        <v>45964</v>
      </c>
      <c r="L1081" t="s">
        <v>1066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1178</v>
      </c>
      <c r="G1082">
        <v>32570</v>
      </c>
      <c r="H1082">
        <f>50*0.14</f>
        <v>7.0000000000000009</v>
      </c>
      <c r="I1082" s="5">
        <f t="shared" si="34"/>
        <v>4652.8571428571422</v>
      </c>
      <c r="J1082" s="3">
        <v>45964</v>
      </c>
      <c r="L1082" t="s">
        <v>1066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1179</v>
      </c>
      <c r="G1083">
        <v>26490</v>
      </c>
      <c r="H1083">
        <f>50 * 0.14</f>
        <v>7.0000000000000009</v>
      </c>
      <c r="I1083" s="5">
        <f t="shared" si="34"/>
        <v>3784.2857142857138</v>
      </c>
      <c r="J1083" s="3">
        <v>45964</v>
      </c>
      <c r="L1083" t="s">
        <v>1066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1180</v>
      </c>
      <c r="G1084">
        <v>4159</v>
      </c>
      <c r="H1084">
        <v>0.5</v>
      </c>
      <c r="I1084" s="5">
        <f t="shared" si="34"/>
        <v>8318</v>
      </c>
      <c r="J1084" s="3">
        <v>45964</v>
      </c>
      <c r="L1084" t="s">
        <v>1066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 t="shared" si="34"/>
        <v>12754</v>
      </c>
      <c r="J1085" s="3">
        <v>45964</v>
      </c>
      <c r="L1085" t="s">
        <v>1066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1181</v>
      </c>
      <c r="G1086">
        <v>4426</v>
      </c>
      <c r="H1086">
        <v>1</v>
      </c>
      <c r="I1086" s="5">
        <f t="shared" si="34"/>
        <v>4426</v>
      </c>
      <c r="J1086" s="3">
        <v>45964</v>
      </c>
      <c r="L1086" t="s">
        <v>1066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1182</v>
      </c>
      <c r="G1087">
        <v>4240</v>
      </c>
      <c r="H1087">
        <f>6 * 0.35</f>
        <v>2.0999999999999996</v>
      </c>
      <c r="I1087" s="5">
        <f t="shared" si="34"/>
        <v>2019.0476190476195</v>
      </c>
      <c r="J1087" s="3">
        <v>45964</v>
      </c>
      <c r="L1087" t="s">
        <v>1066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1183</v>
      </c>
      <c r="G1088">
        <v>4002</v>
      </c>
      <c r="H1088">
        <v>2.1</v>
      </c>
      <c r="I1088" s="5">
        <f t="shared" si="34"/>
        <v>1905.7142857142856</v>
      </c>
      <c r="J1088" s="3">
        <v>45964</v>
      </c>
      <c r="L1088" t="s">
        <v>1066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1184</v>
      </c>
      <c r="G1089">
        <v>13252</v>
      </c>
      <c r="H1089">
        <v>2</v>
      </c>
      <c r="I1089" s="5">
        <f t="shared" si="34"/>
        <v>6626</v>
      </c>
      <c r="J1089" s="3">
        <v>45964</v>
      </c>
      <c r="L1089" t="s">
        <v>1066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 t="shared" si="34"/>
        <v>5442</v>
      </c>
      <c r="J1090" s="3">
        <v>45964</v>
      </c>
      <c r="L1090" t="s">
        <v>1066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1185</v>
      </c>
      <c r="G1091">
        <v>2347</v>
      </c>
      <c r="H1091">
        <v>0.25</v>
      </c>
      <c r="I1091" s="5">
        <f t="shared" si="34"/>
        <v>9388</v>
      </c>
      <c r="J1091" s="3">
        <v>45964</v>
      </c>
      <c r="L1091" t="s">
        <v>1066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1186</v>
      </c>
      <c r="G1092">
        <v>2467</v>
      </c>
      <c r="H1092">
        <v>0.25</v>
      </c>
      <c r="I1092" s="5">
        <f t="shared" si="34"/>
        <v>9868</v>
      </c>
      <c r="J1092" s="3">
        <v>45964</v>
      </c>
      <c r="L1092" t="s">
        <v>1066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1185</v>
      </c>
      <c r="G1093">
        <v>2347</v>
      </c>
      <c r="H1093">
        <v>0.25</v>
      </c>
      <c r="I1093" s="5">
        <f t="shared" ref="I1093:I1124" si="35">G1093/H1093</f>
        <v>9388</v>
      </c>
      <c r="J1093" s="3">
        <v>45964</v>
      </c>
      <c r="L1093" t="s">
        <v>1066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1187</v>
      </c>
      <c r="G1094">
        <v>7620</v>
      </c>
      <c r="H1094">
        <f>800*0.005</f>
        <v>4</v>
      </c>
      <c r="I1094" s="5">
        <f t="shared" si="35"/>
        <v>1905</v>
      </c>
      <c r="J1094" s="3">
        <v>45964</v>
      </c>
      <c r="L1094" t="s">
        <v>1066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1187</v>
      </c>
      <c r="G1095">
        <v>7620</v>
      </c>
      <c r="H1095">
        <f>800*0.005</f>
        <v>4</v>
      </c>
      <c r="I1095" s="5">
        <f t="shared" si="35"/>
        <v>1905</v>
      </c>
      <c r="J1095" s="3">
        <v>45964</v>
      </c>
      <c r="L1095" t="s">
        <v>1066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1188</v>
      </c>
      <c r="G1096">
        <v>6920</v>
      </c>
      <c r="H1096">
        <f>1000 * 0.0005</f>
        <v>0.5</v>
      </c>
      <c r="I1096" s="5">
        <f t="shared" si="35"/>
        <v>13840</v>
      </c>
      <c r="J1096" s="3">
        <v>45964</v>
      </c>
      <c r="L1096" t="s">
        <v>1066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1189</v>
      </c>
      <c r="G1097">
        <v>4615</v>
      </c>
      <c r="H1097">
        <f>_xlfn.XLOOKUP(A1097,'[1]BD LP'!$B:$B,'[1]BD LP'!$AC:$AC)</f>
        <v>2</v>
      </c>
      <c r="I1097" s="5">
        <f t="shared" si="35"/>
        <v>2307.5</v>
      </c>
      <c r="J1097" s="3">
        <v>45964</v>
      </c>
      <c r="L1097" t="s">
        <v>1066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1188</v>
      </c>
      <c r="G1098">
        <v>6920</v>
      </c>
      <c r="H1098">
        <f>1000 * 0.0005</f>
        <v>0.5</v>
      </c>
      <c r="I1098" s="5">
        <f t="shared" si="35"/>
        <v>13840</v>
      </c>
      <c r="J1098" s="3">
        <v>45964</v>
      </c>
      <c r="L1098" t="s">
        <v>1066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1187</v>
      </c>
      <c r="G1099">
        <v>7620</v>
      </c>
      <c r="H1099">
        <f>800*0.005</f>
        <v>4</v>
      </c>
      <c r="I1099" s="5">
        <f t="shared" si="35"/>
        <v>1905</v>
      </c>
      <c r="J1099" s="3">
        <v>45964</v>
      </c>
      <c r="L1099" t="s">
        <v>1066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1188</v>
      </c>
      <c r="G1100">
        <v>6920</v>
      </c>
      <c r="H1100">
        <f>1000 * 0.0005</f>
        <v>0.5</v>
      </c>
      <c r="I1100" s="5">
        <f t="shared" si="35"/>
        <v>13840</v>
      </c>
      <c r="J1100" s="3">
        <v>45964</v>
      </c>
      <c r="L1100" t="s">
        <v>1066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1190</v>
      </c>
      <c r="G1101">
        <v>830</v>
      </c>
      <c r="H1101">
        <v>1</v>
      </c>
      <c r="I1101" s="5">
        <f t="shared" si="35"/>
        <v>830</v>
      </c>
      <c r="J1101" s="3">
        <v>45964</v>
      </c>
      <c r="L1101" t="s">
        <v>1066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1191</v>
      </c>
      <c r="G1102">
        <v>2006</v>
      </c>
      <c r="H1102">
        <v>1</v>
      </c>
      <c r="I1102" s="5">
        <f t="shared" si="35"/>
        <v>2006</v>
      </c>
      <c r="J1102" s="3">
        <v>45964</v>
      </c>
      <c r="L1102" t="s">
        <v>1066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1192</v>
      </c>
      <c r="G1103">
        <v>22456</v>
      </c>
      <c r="H1103">
        <f>_xlfn.XLOOKUP(A1103,'[1]BD LP'!$B:$B,'[1]BD LP'!$AC:$AC)</f>
        <v>25</v>
      </c>
      <c r="I1103" s="5">
        <f t="shared" si="35"/>
        <v>898.24</v>
      </c>
      <c r="J1103" s="3">
        <v>45964</v>
      </c>
      <c r="L1103" t="s">
        <v>1066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1193</v>
      </c>
      <c r="G1104">
        <v>2862</v>
      </c>
      <c r="H1104">
        <v>1</v>
      </c>
      <c r="I1104" s="5">
        <f t="shared" si="35"/>
        <v>2862</v>
      </c>
      <c r="J1104" s="3">
        <v>45964</v>
      </c>
      <c r="L1104" t="s">
        <v>1066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1194</v>
      </c>
      <c r="G1105">
        <v>2189</v>
      </c>
      <c r="H1105">
        <v>0.36099999999999999</v>
      </c>
      <c r="I1105" s="5">
        <f t="shared" si="35"/>
        <v>6063.7119113573408</v>
      </c>
      <c r="J1105" s="3">
        <v>45964</v>
      </c>
      <c r="L1105" t="s">
        <v>1066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 t="shared" si="35"/>
        <v>5697.5</v>
      </c>
      <c r="J1106" s="3">
        <v>45964</v>
      </c>
      <c r="L1106" t="s">
        <v>1066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1195</v>
      </c>
      <c r="G1107">
        <v>2490</v>
      </c>
      <c r="H1107">
        <v>0.81</v>
      </c>
      <c r="I1107" s="5">
        <f t="shared" si="35"/>
        <v>3074.0740740740739</v>
      </c>
      <c r="J1107" s="3">
        <v>45964</v>
      </c>
      <c r="L1107" t="s">
        <v>1066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1195</v>
      </c>
      <c r="G1108">
        <v>2490</v>
      </c>
      <c r="H1108">
        <v>0.81</v>
      </c>
      <c r="I1108" s="5">
        <f t="shared" si="35"/>
        <v>3074.0740740740739</v>
      </c>
      <c r="J1108" s="3">
        <v>45964</v>
      </c>
      <c r="L1108" t="s">
        <v>1066</v>
      </c>
    </row>
    <row r="1109" spans="1:12" ht="72.5" x14ac:dyDescent="0.35">
      <c r="A1109">
        <v>104538100</v>
      </c>
      <c r="B1109" t="s">
        <v>371</v>
      </c>
      <c r="E1109" t="s">
        <v>584</v>
      </c>
      <c r="F1109" s="1" t="s">
        <v>1196</v>
      </c>
      <c r="G1109">
        <v>11939</v>
      </c>
      <c r="H1109">
        <v>1</v>
      </c>
      <c r="I1109" s="5">
        <f t="shared" si="35"/>
        <v>11939</v>
      </c>
      <c r="J1109" s="3">
        <v>45964</v>
      </c>
      <c r="L1109" t="s">
        <v>1066</v>
      </c>
    </row>
    <row r="1110" spans="1:12" ht="72.5" x14ac:dyDescent="0.35">
      <c r="A1110">
        <v>104537550</v>
      </c>
      <c r="B1110" t="s">
        <v>375</v>
      </c>
      <c r="E1110" t="s">
        <v>584</v>
      </c>
      <c r="F1110" s="1" t="s">
        <v>1197</v>
      </c>
      <c r="G1110">
        <v>6537</v>
      </c>
      <c r="H1110">
        <v>0.5</v>
      </c>
      <c r="I1110" s="5">
        <f t="shared" si="35"/>
        <v>13074</v>
      </c>
      <c r="J1110" s="3">
        <v>45964</v>
      </c>
      <c r="L1110" t="s">
        <v>1066</v>
      </c>
    </row>
    <row r="1111" spans="1:12" ht="72.5" x14ac:dyDescent="0.35">
      <c r="A1111">
        <v>104518990</v>
      </c>
      <c r="B1111" t="s">
        <v>376</v>
      </c>
      <c r="E1111" t="s">
        <v>584</v>
      </c>
      <c r="F1111" s="1" t="s">
        <v>1198</v>
      </c>
      <c r="G1111">
        <v>5067</v>
      </c>
      <c r="H1111">
        <v>1</v>
      </c>
      <c r="I1111" s="5">
        <f t="shared" si="35"/>
        <v>5067</v>
      </c>
      <c r="J1111" s="3">
        <v>45964</v>
      </c>
      <c r="L1111" t="s">
        <v>1066</v>
      </c>
    </row>
    <row r="1112" spans="1:12" ht="72.5" x14ac:dyDescent="0.35">
      <c r="A1112">
        <v>104531630</v>
      </c>
      <c r="B1112" t="s">
        <v>381</v>
      </c>
      <c r="E1112" t="s">
        <v>584</v>
      </c>
      <c r="F1112" s="1" t="s">
        <v>1199</v>
      </c>
      <c r="G1112">
        <v>2712</v>
      </c>
      <c r="H1112">
        <v>1</v>
      </c>
      <c r="I1112" s="5">
        <f t="shared" si="35"/>
        <v>2712</v>
      </c>
      <c r="J1112" s="3">
        <v>45964</v>
      </c>
      <c r="L1112" t="s">
        <v>1066</v>
      </c>
    </row>
    <row r="1113" spans="1:12" ht="72.5" x14ac:dyDescent="0.35">
      <c r="A1113">
        <v>201210650</v>
      </c>
      <c r="B1113" t="s">
        <v>382</v>
      </c>
      <c r="E1113" t="s">
        <v>584</v>
      </c>
      <c r="F1113" s="1" t="s">
        <v>1200</v>
      </c>
      <c r="G1113">
        <v>2190</v>
      </c>
      <c r="H1113">
        <v>1</v>
      </c>
      <c r="I1113" s="5">
        <f t="shared" si="35"/>
        <v>2190</v>
      </c>
      <c r="J1113" s="3">
        <v>45964</v>
      </c>
      <c r="L1113" t="s">
        <v>1066</v>
      </c>
    </row>
    <row r="1114" spans="1:12" ht="72.5" x14ac:dyDescent="0.35">
      <c r="A1114">
        <v>201221650</v>
      </c>
      <c r="B1114" t="s">
        <v>383</v>
      </c>
      <c r="E1114" t="s">
        <v>584</v>
      </c>
      <c r="F1114" s="1" t="s">
        <v>1201</v>
      </c>
      <c r="G1114">
        <v>2171</v>
      </c>
      <c r="H1114">
        <v>1</v>
      </c>
      <c r="I1114" s="5">
        <f t="shared" si="35"/>
        <v>2171</v>
      </c>
      <c r="J1114" s="3">
        <v>45964</v>
      </c>
      <c r="L1114" t="s">
        <v>1066</v>
      </c>
    </row>
    <row r="1115" spans="1:12" ht="72.5" x14ac:dyDescent="0.35">
      <c r="A1115">
        <v>104523080</v>
      </c>
      <c r="B1115" t="s">
        <v>386</v>
      </c>
      <c r="E1115" t="s">
        <v>584</v>
      </c>
      <c r="F1115" s="1" t="s">
        <v>1202</v>
      </c>
      <c r="G1115">
        <v>9899</v>
      </c>
      <c r="H1115">
        <v>1</v>
      </c>
      <c r="I1115" s="5">
        <f t="shared" si="35"/>
        <v>9899</v>
      </c>
      <c r="J1115" s="3">
        <v>45964</v>
      </c>
      <c r="L1115" t="s">
        <v>1066</v>
      </c>
    </row>
    <row r="1116" spans="1:12" ht="72.5" x14ac:dyDescent="0.35">
      <c r="A1116">
        <v>104532130</v>
      </c>
      <c r="B1116" t="s">
        <v>388</v>
      </c>
      <c r="E1116" t="s">
        <v>584</v>
      </c>
      <c r="F1116" s="1" t="s">
        <v>1203</v>
      </c>
      <c r="G1116">
        <v>4632</v>
      </c>
      <c r="H1116">
        <v>1</v>
      </c>
      <c r="I1116" s="5">
        <f t="shared" si="35"/>
        <v>4632</v>
      </c>
      <c r="J1116" s="3">
        <v>45964</v>
      </c>
      <c r="L1116" t="s">
        <v>1066</v>
      </c>
    </row>
    <row r="1117" spans="1:12" ht="72.5" x14ac:dyDescent="0.35">
      <c r="A1117">
        <v>104527550</v>
      </c>
      <c r="B1117" t="s">
        <v>394</v>
      </c>
      <c r="E1117" t="s">
        <v>584</v>
      </c>
      <c r="F1117" s="1" t="s">
        <v>1204</v>
      </c>
      <c r="G1117">
        <v>1776</v>
      </c>
      <c r="H1117">
        <v>1</v>
      </c>
      <c r="I1117" s="5">
        <f t="shared" si="35"/>
        <v>1776</v>
      </c>
      <c r="J1117" s="3">
        <v>45964</v>
      </c>
      <c r="L1117" t="s">
        <v>1066</v>
      </c>
    </row>
    <row r="1118" spans="1:12" ht="72.5" x14ac:dyDescent="0.35">
      <c r="A1118">
        <v>104535150</v>
      </c>
      <c r="B1118" t="s">
        <v>396</v>
      </c>
      <c r="E1118" t="s">
        <v>584</v>
      </c>
      <c r="F1118" s="1" t="s">
        <v>1205</v>
      </c>
      <c r="G1118">
        <v>1814</v>
      </c>
      <c r="H1118">
        <v>1</v>
      </c>
      <c r="I1118" s="5">
        <f t="shared" si="35"/>
        <v>1814</v>
      </c>
      <c r="J1118" s="3">
        <v>45964</v>
      </c>
      <c r="L1118" t="s">
        <v>1066</v>
      </c>
    </row>
    <row r="1119" spans="1:12" ht="72.5" x14ac:dyDescent="0.35">
      <c r="A1119">
        <v>104535170</v>
      </c>
      <c r="B1119" t="s">
        <v>397</v>
      </c>
      <c r="E1119" t="s">
        <v>584</v>
      </c>
      <c r="F1119" s="1" t="s">
        <v>1206</v>
      </c>
      <c r="G1119">
        <v>1866</v>
      </c>
      <c r="H1119">
        <v>1</v>
      </c>
      <c r="I1119" s="5">
        <f t="shared" si="35"/>
        <v>1866</v>
      </c>
      <c r="J1119" s="3">
        <v>45964</v>
      </c>
      <c r="L1119" t="s">
        <v>1066</v>
      </c>
    </row>
    <row r="1120" spans="1:12" ht="72.5" x14ac:dyDescent="0.35">
      <c r="A1120">
        <v>104535190</v>
      </c>
      <c r="B1120" t="s">
        <v>399</v>
      </c>
      <c r="E1120" t="s">
        <v>584</v>
      </c>
      <c r="F1120" s="1" t="s">
        <v>1208</v>
      </c>
      <c r="G1120">
        <v>2584</v>
      </c>
      <c r="H1120">
        <v>1</v>
      </c>
      <c r="I1120" s="5">
        <f t="shared" si="35"/>
        <v>2584</v>
      </c>
      <c r="J1120" s="3">
        <v>45964</v>
      </c>
      <c r="L1120" t="s">
        <v>1066</v>
      </c>
    </row>
    <row r="1121" spans="1:12" ht="72.5" x14ac:dyDescent="0.35">
      <c r="A1121">
        <v>150000094</v>
      </c>
      <c r="B1121" t="s">
        <v>400</v>
      </c>
      <c r="E1121" t="s">
        <v>584</v>
      </c>
      <c r="F1121" s="1" t="s">
        <v>1209</v>
      </c>
      <c r="G1121">
        <v>2023</v>
      </c>
      <c r="H1121">
        <v>1.2</v>
      </c>
      <c r="I1121" s="5">
        <f t="shared" si="35"/>
        <v>1685.8333333333335</v>
      </c>
      <c r="J1121" s="3">
        <v>45964</v>
      </c>
      <c r="L1121" t="s">
        <v>1066</v>
      </c>
    </row>
    <row r="1122" spans="1:12" ht="72.5" x14ac:dyDescent="0.35">
      <c r="A1122">
        <v>150000092</v>
      </c>
      <c r="B1122" t="s">
        <v>401</v>
      </c>
      <c r="E1122" t="s">
        <v>584</v>
      </c>
      <c r="F1122" s="1" t="s">
        <v>1210</v>
      </c>
      <c r="G1122">
        <v>1878</v>
      </c>
      <c r="H1122">
        <v>1.2</v>
      </c>
      <c r="I1122" s="5">
        <f t="shared" si="35"/>
        <v>1565</v>
      </c>
      <c r="J1122" s="3">
        <v>45964</v>
      </c>
      <c r="L1122" t="s">
        <v>1066</v>
      </c>
    </row>
    <row r="1123" spans="1:12" ht="72.5" x14ac:dyDescent="0.35">
      <c r="A1123">
        <v>150001049</v>
      </c>
      <c r="B1123" t="s">
        <v>404</v>
      </c>
      <c r="E1123" t="s">
        <v>584</v>
      </c>
      <c r="F1123" s="1" t="s">
        <v>1211</v>
      </c>
      <c r="G1123">
        <v>1897</v>
      </c>
      <c r="H1123">
        <v>1.2</v>
      </c>
      <c r="I1123" s="5">
        <f t="shared" si="35"/>
        <v>1580.8333333333335</v>
      </c>
      <c r="J1123" s="3">
        <v>45964</v>
      </c>
      <c r="L1123" t="s">
        <v>1066</v>
      </c>
    </row>
    <row r="1124" spans="1:12" ht="72.5" x14ac:dyDescent="0.35">
      <c r="A1124">
        <v>150000093</v>
      </c>
      <c r="B1124" t="s">
        <v>405</v>
      </c>
      <c r="E1124" t="s">
        <v>584</v>
      </c>
      <c r="F1124" s="1" t="s">
        <v>1212</v>
      </c>
      <c r="G1124">
        <v>2137</v>
      </c>
      <c r="H1124">
        <v>1.2</v>
      </c>
      <c r="I1124" s="5">
        <f t="shared" si="35"/>
        <v>1780.8333333333335</v>
      </c>
      <c r="J1124" s="3">
        <v>45964</v>
      </c>
      <c r="L1124" t="s">
        <v>1066</v>
      </c>
    </row>
    <row r="1125" spans="1:12" ht="72.5" x14ac:dyDescent="0.35">
      <c r="A1125">
        <v>201700302</v>
      </c>
      <c r="B1125" t="s">
        <v>414</v>
      </c>
      <c r="E1125" t="s">
        <v>584</v>
      </c>
      <c r="F1125" s="1" t="s">
        <v>1213</v>
      </c>
      <c r="G1125">
        <v>5368</v>
      </c>
      <c r="H1125">
        <v>1</v>
      </c>
      <c r="I1125" s="5">
        <f t="shared" ref="I1125:I1156" si="36">G1125/H1125</f>
        <v>5368</v>
      </c>
      <c r="J1125" s="3">
        <v>45964</v>
      </c>
      <c r="L1125" t="s">
        <v>1066</v>
      </c>
    </row>
    <row r="1126" spans="1:12" ht="72.5" x14ac:dyDescent="0.35">
      <c r="A1126">
        <v>104511850</v>
      </c>
      <c r="B1126" t="s">
        <v>415</v>
      </c>
      <c r="E1126" t="s">
        <v>584</v>
      </c>
      <c r="F1126" s="1" t="s">
        <v>1214</v>
      </c>
      <c r="G1126">
        <v>1939</v>
      </c>
      <c r="H1126">
        <v>0.25</v>
      </c>
      <c r="I1126" s="5">
        <f t="shared" si="36"/>
        <v>7756</v>
      </c>
      <c r="J1126" s="3">
        <v>45964</v>
      </c>
      <c r="L1126" t="s">
        <v>1066</v>
      </c>
    </row>
    <row r="1127" spans="1:12" ht="72.5" x14ac:dyDescent="0.35">
      <c r="A1127">
        <v>104522460</v>
      </c>
      <c r="B1127" t="s">
        <v>417</v>
      </c>
      <c r="E1127" t="s">
        <v>584</v>
      </c>
      <c r="F1127" s="1" t="s">
        <v>1215</v>
      </c>
      <c r="G1127">
        <v>1157</v>
      </c>
      <c r="H1127">
        <v>0.1</v>
      </c>
      <c r="I1127" s="5">
        <f t="shared" si="36"/>
        <v>11570</v>
      </c>
      <c r="J1127" s="3">
        <v>45964</v>
      </c>
      <c r="L1127" t="s">
        <v>1066</v>
      </c>
    </row>
    <row r="1128" spans="1:12" ht="72.5" x14ac:dyDescent="0.35">
      <c r="A1128">
        <v>201700307</v>
      </c>
      <c r="B1128" t="s">
        <v>418</v>
      </c>
      <c r="E1128" t="s">
        <v>584</v>
      </c>
      <c r="F1128" s="1" t="s">
        <v>1216</v>
      </c>
      <c r="G1128">
        <v>16758</v>
      </c>
      <c r="H1128">
        <v>1</v>
      </c>
      <c r="I1128" s="5">
        <f t="shared" si="36"/>
        <v>16758</v>
      </c>
      <c r="J1128" s="3">
        <v>45964</v>
      </c>
      <c r="L1128" t="s">
        <v>1066</v>
      </c>
    </row>
    <row r="1129" spans="1:12" ht="72.5" x14ac:dyDescent="0.35">
      <c r="A1129">
        <v>104543270</v>
      </c>
      <c r="B1129" t="s">
        <v>419</v>
      </c>
      <c r="E1129" t="s">
        <v>584</v>
      </c>
      <c r="F1129" s="1" t="s">
        <v>1217</v>
      </c>
      <c r="G1129">
        <v>3884</v>
      </c>
      <c r="H1129">
        <v>0.25</v>
      </c>
      <c r="I1129" s="5">
        <f t="shared" si="36"/>
        <v>15536</v>
      </c>
      <c r="J1129" s="3">
        <v>45964</v>
      </c>
      <c r="L1129" t="s">
        <v>1066</v>
      </c>
    </row>
    <row r="1130" spans="1:12" ht="72.5" x14ac:dyDescent="0.35">
      <c r="A1130">
        <v>104527930</v>
      </c>
      <c r="B1130" t="s">
        <v>420</v>
      </c>
      <c r="E1130" t="s">
        <v>584</v>
      </c>
      <c r="F1130" s="1" t="s">
        <v>1218</v>
      </c>
      <c r="G1130">
        <v>870</v>
      </c>
      <c r="H1130">
        <v>1.4999999999999999E-2</v>
      </c>
      <c r="I1130" s="5">
        <f t="shared" si="36"/>
        <v>58000</v>
      </c>
      <c r="J1130" s="3">
        <v>45964</v>
      </c>
      <c r="L1130" t="s">
        <v>1066</v>
      </c>
    </row>
    <row r="1131" spans="1:12" ht="72.5" x14ac:dyDescent="0.35">
      <c r="A1131">
        <v>104544100</v>
      </c>
      <c r="B1131" t="s">
        <v>421</v>
      </c>
      <c r="E1131" t="s">
        <v>584</v>
      </c>
      <c r="F1131" s="1" t="s">
        <v>1219</v>
      </c>
      <c r="G1131">
        <v>6131</v>
      </c>
      <c r="H1131">
        <v>1</v>
      </c>
      <c r="I1131" s="5">
        <f t="shared" si="36"/>
        <v>6131</v>
      </c>
      <c r="J1131" s="3">
        <v>45964</v>
      </c>
      <c r="L1131" t="s">
        <v>1066</v>
      </c>
    </row>
    <row r="1132" spans="1:12" ht="72.5" x14ac:dyDescent="0.35">
      <c r="A1132">
        <v>201700306</v>
      </c>
      <c r="B1132" t="s">
        <v>422</v>
      </c>
      <c r="E1132" t="s">
        <v>584</v>
      </c>
      <c r="F1132" s="1" t="s">
        <v>1220</v>
      </c>
      <c r="G1132">
        <v>4289</v>
      </c>
      <c r="H1132">
        <v>0.25</v>
      </c>
      <c r="I1132" s="5">
        <f t="shared" si="36"/>
        <v>17156</v>
      </c>
      <c r="J1132" s="3">
        <v>45964</v>
      </c>
      <c r="L1132" t="s">
        <v>1066</v>
      </c>
    </row>
    <row r="1133" spans="1:12" ht="72.5" x14ac:dyDescent="0.35">
      <c r="A1133">
        <v>150000772</v>
      </c>
      <c r="B1133" t="s">
        <v>423</v>
      </c>
      <c r="E1133" t="s">
        <v>584</v>
      </c>
      <c r="F1133" s="1" t="s">
        <v>963</v>
      </c>
      <c r="G1133">
        <v>20034</v>
      </c>
      <c r="H1133">
        <v>1</v>
      </c>
      <c r="I1133" s="5">
        <f t="shared" si="36"/>
        <v>20034</v>
      </c>
      <c r="J1133" s="3">
        <v>45964</v>
      </c>
      <c r="L1133" t="s">
        <v>1066</v>
      </c>
    </row>
    <row r="1134" spans="1:12" ht="72.5" x14ac:dyDescent="0.35">
      <c r="A1134">
        <v>104527910</v>
      </c>
      <c r="B1134" t="s">
        <v>425</v>
      </c>
      <c r="E1134" t="s">
        <v>584</v>
      </c>
      <c r="F1134" s="1" t="s">
        <v>1221</v>
      </c>
      <c r="G1134">
        <v>4647</v>
      </c>
      <c r="H1134">
        <v>1</v>
      </c>
      <c r="I1134" s="5">
        <f t="shared" si="36"/>
        <v>4647</v>
      </c>
      <c r="J1134" s="3">
        <v>45964</v>
      </c>
      <c r="L1134" t="s">
        <v>1066</v>
      </c>
    </row>
    <row r="1135" spans="1:12" ht="72.5" x14ac:dyDescent="0.35">
      <c r="A1135">
        <v>104521580</v>
      </c>
      <c r="B1135" t="s">
        <v>426</v>
      </c>
      <c r="E1135" t="s">
        <v>584</v>
      </c>
      <c r="F1135" s="1" t="s">
        <v>1222</v>
      </c>
      <c r="G1135">
        <v>3232</v>
      </c>
      <c r="H1135">
        <v>1</v>
      </c>
      <c r="I1135" s="5">
        <f t="shared" si="36"/>
        <v>3232</v>
      </c>
      <c r="J1135" s="3">
        <v>45964</v>
      </c>
      <c r="L1135" t="s">
        <v>1066</v>
      </c>
    </row>
    <row r="1136" spans="1:12" ht="72.5" x14ac:dyDescent="0.35">
      <c r="A1136">
        <v>104522380</v>
      </c>
      <c r="B1136" t="s">
        <v>431</v>
      </c>
      <c r="E1136" t="s">
        <v>584</v>
      </c>
      <c r="F1136" s="1" t="s">
        <v>1223</v>
      </c>
      <c r="G1136">
        <v>7704</v>
      </c>
      <c r="H1136">
        <v>0.75</v>
      </c>
      <c r="I1136" s="5">
        <f t="shared" si="36"/>
        <v>10272</v>
      </c>
      <c r="J1136" s="3">
        <v>45964</v>
      </c>
      <c r="L1136" t="s">
        <v>1066</v>
      </c>
    </row>
    <row r="1137" spans="1:12" ht="72.5" x14ac:dyDescent="0.35">
      <c r="A1137">
        <v>104522330</v>
      </c>
      <c r="B1137" t="s">
        <v>432</v>
      </c>
      <c r="E1137" t="s">
        <v>584</v>
      </c>
      <c r="F1137" s="1" t="s">
        <v>1224</v>
      </c>
      <c r="G1137">
        <v>7706</v>
      </c>
      <c r="H1137">
        <v>0.75</v>
      </c>
      <c r="I1137" s="5">
        <f t="shared" si="36"/>
        <v>10274.666666666666</v>
      </c>
      <c r="J1137" s="3">
        <v>45964</v>
      </c>
      <c r="L1137" t="s">
        <v>1066</v>
      </c>
    </row>
    <row r="1138" spans="1:12" ht="72.5" x14ac:dyDescent="0.35">
      <c r="A1138">
        <v>104531470</v>
      </c>
      <c r="B1138" t="s">
        <v>434</v>
      </c>
      <c r="E1138" t="s">
        <v>584</v>
      </c>
      <c r="F1138" s="1" t="s">
        <v>967</v>
      </c>
      <c r="G1138">
        <v>3523</v>
      </c>
      <c r="H1138">
        <f xml:space="preserve"> 6 * 0.037</f>
        <v>0.22199999999999998</v>
      </c>
      <c r="I1138" s="5">
        <f t="shared" si="36"/>
        <v>15869.369369369371</v>
      </c>
      <c r="J1138" s="3">
        <v>45964</v>
      </c>
      <c r="L1138" t="s">
        <v>1066</v>
      </c>
    </row>
    <row r="1139" spans="1:12" ht="72.5" x14ac:dyDescent="0.35">
      <c r="A1139">
        <v>150001763</v>
      </c>
      <c r="B1139" t="s">
        <v>439</v>
      </c>
      <c r="E1139" t="s">
        <v>584</v>
      </c>
      <c r="F1139" s="1" t="s">
        <v>1225</v>
      </c>
      <c r="G1139">
        <v>12832</v>
      </c>
      <c r="H1139">
        <v>1</v>
      </c>
      <c r="I1139" s="5">
        <f t="shared" si="36"/>
        <v>12832</v>
      </c>
      <c r="J1139" s="3">
        <v>45964</v>
      </c>
      <c r="L1139" t="s">
        <v>1066</v>
      </c>
    </row>
    <row r="1140" spans="1:12" ht="72.5" x14ac:dyDescent="0.35">
      <c r="A1140">
        <v>150000764</v>
      </c>
      <c r="B1140" t="s">
        <v>440</v>
      </c>
      <c r="E1140" t="s">
        <v>584</v>
      </c>
      <c r="F1140" s="1" t="s">
        <v>1226</v>
      </c>
      <c r="G1140">
        <v>10100</v>
      </c>
      <c r="H1140">
        <v>1</v>
      </c>
      <c r="I1140" s="5">
        <f t="shared" si="36"/>
        <v>10100</v>
      </c>
      <c r="J1140" s="3">
        <v>45964</v>
      </c>
      <c r="L1140" t="s">
        <v>1066</v>
      </c>
    </row>
    <row r="1141" spans="1:12" ht="72.5" x14ac:dyDescent="0.35">
      <c r="A1141">
        <v>150000862</v>
      </c>
      <c r="B1141" t="s">
        <v>441</v>
      </c>
      <c r="E1141" t="s">
        <v>584</v>
      </c>
      <c r="F1141" s="1" t="s">
        <v>969</v>
      </c>
      <c r="G1141">
        <v>11199</v>
      </c>
      <c r="H1141">
        <v>1</v>
      </c>
      <c r="I1141" s="5">
        <f t="shared" si="36"/>
        <v>11199</v>
      </c>
      <c r="J1141" s="3">
        <v>45964</v>
      </c>
      <c r="L1141" t="s">
        <v>1066</v>
      </c>
    </row>
    <row r="1142" spans="1:12" ht="72.5" x14ac:dyDescent="0.35">
      <c r="A1142">
        <v>201703050</v>
      </c>
      <c r="B1142" t="s">
        <v>442</v>
      </c>
      <c r="E1142" t="s">
        <v>584</v>
      </c>
      <c r="F1142" s="1" t="s">
        <v>1227</v>
      </c>
      <c r="G1142">
        <v>5316</v>
      </c>
      <c r="H1142">
        <v>1</v>
      </c>
      <c r="I1142" s="5">
        <f t="shared" si="36"/>
        <v>5316</v>
      </c>
      <c r="J1142" s="3">
        <v>45964</v>
      </c>
      <c r="L1142" t="s">
        <v>1066</v>
      </c>
    </row>
    <row r="1143" spans="1:12" ht="72.5" x14ac:dyDescent="0.35">
      <c r="A1143">
        <v>150000769</v>
      </c>
      <c r="B1143" t="s">
        <v>443</v>
      </c>
      <c r="E1143" t="s">
        <v>584</v>
      </c>
      <c r="F1143" s="1" t="s">
        <v>971</v>
      </c>
      <c r="G1143">
        <v>4330</v>
      </c>
      <c r="H1143">
        <v>1</v>
      </c>
      <c r="I1143" s="5">
        <f t="shared" si="36"/>
        <v>4330</v>
      </c>
      <c r="J1143" s="3">
        <v>45964</v>
      </c>
      <c r="L1143" t="s">
        <v>1066</v>
      </c>
    </row>
    <row r="1144" spans="1:12" ht="72.5" x14ac:dyDescent="0.35">
      <c r="A1144">
        <v>150000761</v>
      </c>
      <c r="B1144" t="s">
        <v>444</v>
      </c>
      <c r="E1144" t="s">
        <v>584</v>
      </c>
      <c r="F1144" s="1" t="s">
        <v>1228</v>
      </c>
      <c r="G1144">
        <v>3869</v>
      </c>
      <c r="H1144">
        <v>1</v>
      </c>
      <c r="I1144" s="5">
        <f t="shared" si="36"/>
        <v>3869</v>
      </c>
      <c r="J1144" s="3">
        <v>45964</v>
      </c>
      <c r="L1144" t="s">
        <v>1066</v>
      </c>
    </row>
    <row r="1145" spans="1:12" ht="72.5" x14ac:dyDescent="0.35">
      <c r="A1145">
        <v>150001530</v>
      </c>
      <c r="B1145" t="s">
        <v>445</v>
      </c>
      <c r="E1145" t="s">
        <v>584</v>
      </c>
      <c r="F1145" s="1" t="s">
        <v>1229</v>
      </c>
      <c r="G1145">
        <v>4047</v>
      </c>
      <c r="H1145">
        <v>0.24</v>
      </c>
      <c r="I1145" s="5">
        <f t="shared" si="36"/>
        <v>16862.5</v>
      </c>
      <c r="J1145" s="3">
        <v>45964</v>
      </c>
      <c r="L1145" t="s">
        <v>1066</v>
      </c>
    </row>
    <row r="1146" spans="1:12" ht="72.5" x14ac:dyDescent="0.35">
      <c r="A1146">
        <v>150000095</v>
      </c>
      <c r="B1146" t="s">
        <v>446</v>
      </c>
      <c r="E1146" t="s">
        <v>584</v>
      </c>
      <c r="F1146" s="1" t="s">
        <v>1230</v>
      </c>
      <c r="G1146">
        <v>3889</v>
      </c>
      <c r="H1146">
        <v>1</v>
      </c>
      <c r="I1146" s="5">
        <f t="shared" si="36"/>
        <v>3889</v>
      </c>
      <c r="J1146" s="3">
        <v>45964</v>
      </c>
      <c r="L1146" t="s">
        <v>1066</v>
      </c>
    </row>
    <row r="1147" spans="1:12" ht="72.5" x14ac:dyDescent="0.35">
      <c r="A1147">
        <v>150001771</v>
      </c>
      <c r="B1147" t="s">
        <v>447</v>
      </c>
      <c r="E1147" t="s">
        <v>584</v>
      </c>
      <c r="F1147" s="1" t="s">
        <v>973</v>
      </c>
      <c r="G1147">
        <v>2337</v>
      </c>
      <c r="H1147">
        <v>1</v>
      </c>
      <c r="I1147" s="5">
        <f t="shared" si="36"/>
        <v>2337</v>
      </c>
      <c r="J1147" s="3">
        <v>45964</v>
      </c>
      <c r="L1147" t="s">
        <v>1066</v>
      </c>
    </row>
    <row r="1148" spans="1:12" ht="72.5" x14ac:dyDescent="0.35">
      <c r="A1148">
        <v>150000718</v>
      </c>
      <c r="B1148" t="s">
        <v>453</v>
      </c>
      <c r="E1148" t="s">
        <v>584</v>
      </c>
      <c r="F1148" s="1" t="s">
        <v>1231</v>
      </c>
      <c r="G1148">
        <v>1527</v>
      </c>
      <c r="H1148">
        <v>1</v>
      </c>
      <c r="I1148" s="5">
        <f t="shared" si="36"/>
        <v>1527</v>
      </c>
      <c r="J1148" s="3">
        <v>45964</v>
      </c>
      <c r="L1148" t="s">
        <v>1066</v>
      </c>
    </row>
    <row r="1149" spans="1:12" ht="72.5" x14ac:dyDescent="0.35">
      <c r="A1149">
        <v>104537880</v>
      </c>
      <c r="B1149" t="s">
        <v>454</v>
      </c>
      <c r="E1149" t="s">
        <v>584</v>
      </c>
      <c r="F1149" s="1" t="s">
        <v>1232</v>
      </c>
      <c r="G1149">
        <v>273</v>
      </c>
      <c r="H1149">
        <v>0.12</v>
      </c>
      <c r="I1149" s="5">
        <f t="shared" si="36"/>
        <v>2275</v>
      </c>
      <c r="J1149" s="3">
        <v>45964</v>
      </c>
      <c r="L1149" t="s">
        <v>1066</v>
      </c>
    </row>
    <row r="1150" spans="1:12" ht="72.5" x14ac:dyDescent="0.35">
      <c r="A1150">
        <v>104534350</v>
      </c>
      <c r="B1150" t="s">
        <v>455</v>
      </c>
      <c r="E1150" t="s">
        <v>584</v>
      </c>
      <c r="F1150" s="1" t="s">
        <v>1233</v>
      </c>
      <c r="G1150">
        <v>1533</v>
      </c>
      <c r="H1150">
        <v>1</v>
      </c>
      <c r="I1150" s="5">
        <f t="shared" si="36"/>
        <v>1533</v>
      </c>
      <c r="J1150" s="3">
        <v>45964</v>
      </c>
      <c r="L1150" t="s">
        <v>1066</v>
      </c>
    </row>
    <row r="1151" spans="1:12" ht="72.5" x14ac:dyDescent="0.35">
      <c r="A1151">
        <v>104534360</v>
      </c>
      <c r="B1151" t="s">
        <v>456</v>
      </c>
      <c r="E1151" t="s">
        <v>584</v>
      </c>
      <c r="F1151" s="1" t="s">
        <v>1234</v>
      </c>
      <c r="G1151">
        <v>1533</v>
      </c>
      <c r="H1151">
        <v>1</v>
      </c>
      <c r="I1151" s="5">
        <f t="shared" si="36"/>
        <v>1533</v>
      </c>
      <c r="J1151" s="3">
        <v>45964</v>
      </c>
      <c r="L1151" t="s">
        <v>1066</v>
      </c>
    </row>
    <row r="1152" spans="1:12" ht="72.5" x14ac:dyDescent="0.35">
      <c r="A1152">
        <v>104541810</v>
      </c>
      <c r="B1152" t="s">
        <v>457</v>
      </c>
      <c r="E1152" t="s">
        <v>584</v>
      </c>
      <c r="F1152" s="1" t="s">
        <v>1235</v>
      </c>
      <c r="G1152">
        <v>230</v>
      </c>
      <c r="H1152">
        <v>0.12</v>
      </c>
      <c r="I1152" s="5">
        <f t="shared" si="36"/>
        <v>1916.6666666666667</v>
      </c>
      <c r="J1152" s="3">
        <v>45964</v>
      </c>
      <c r="L1152" t="s">
        <v>1066</v>
      </c>
    </row>
    <row r="1153" spans="1:12" ht="72.5" x14ac:dyDescent="0.35">
      <c r="A1153">
        <v>150001143</v>
      </c>
      <c r="B1153" t="s">
        <v>459</v>
      </c>
      <c r="E1153" t="s">
        <v>584</v>
      </c>
      <c r="F1153" s="1" t="s">
        <v>1235</v>
      </c>
      <c r="G1153">
        <v>320</v>
      </c>
      <c r="H1153">
        <v>0.12</v>
      </c>
      <c r="I1153" s="5">
        <f t="shared" si="36"/>
        <v>2666.666666666667</v>
      </c>
      <c r="J1153" s="3">
        <v>45964</v>
      </c>
      <c r="L1153" t="s">
        <v>1066</v>
      </c>
    </row>
    <row r="1154" spans="1:12" ht="72.5" x14ac:dyDescent="0.35">
      <c r="A1154">
        <v>104537890</v>
      </c>
      <c r="B1154" t="s">
        <v>461</v>
      </c>
      <c r="E1154" t="s">
        <v>584</v>
      </c>
      <c r="F1154" s="8" t="s">
        <v>1236</v>
      </c>
      <c r="G1154">
        <v>273</v>
      </c>
      <c r="H1154">
        <v>0.12</v>
      </c>
      <c r="I1154" s="5">
        <f t="shared" si="36"/>
        <v>2275</v>
      </c>
      <c r="J1154" s="3">
        <v>45964</v>
      </c>
      <c r="L1154" t="s">
        <v>1066</v>
      </c>
    </row>
    <row r="1155" spans="1:12" ht="72.5" x14ac:dyDescent="0.35">
      <c r="A1155">
        <v>104303640</v>
      </c>
      <c r="B1155" t="s">
        <v>462</v>
      </c>
      <c r="E1155" t="s">
        <v>584</v>
      </c>
      <c r="F1155" s="1" t="s">
        <v>1237</v>
      </c>
      <c r="G1155">
        <v>2369</v>
      </c>
      <c r="H1155">
        <v>1</v>
      </c>
      <c r="I1155" s="5">
        <f t="shared" si="36"/>
        <v>2369</v>
      </c>
      <c r="J1155" s="3">
        <v>45964</v>
      </c>
      <c r="L1155" t="s">
        <v>1066</v>
      </c>
    </row>
    <row r="1156" spans="1:12" ht="72.5" x14ac:dyDescent="0.35">
      <c r="A1156">
        <v>201200010</v>
      </c>
      <c r="B1156" t="s">
        <v>463</v>
      </c>
      <c r="E1156" t="s">
        <v>584</v>
      </c>
      <c r="F1156" s="1" t="s">
        <v>1238</v>
      </c>
      <c r="G1156">
        <v>3278</v>
      </c>
      <c r="H1156">
        <v>1</v>
      </c>
      <c r="I1156" s="5">
        <f t="shared" si="36"/>
        <v>3278</v>
      </c>
      <c r="J1156" s="3">
        <v>45964</v>
      </c>
      <c r="L1156" t="s">
        <v>1066</v>
      </c>
    </row>
    <row r="1157" spans="1:12" ht="72.5" x14ac:dyDescent="0.35">
      <c r="A1157">
        <v>150000002</v>
      </c>
      <c r="B1157" t="s">
        <v>464</v>
      </c>
      <c r="E1157" t="s">
        <v>584</v>
      </c>
      <c r="F1157" s="1" t="s">
        <v>1239</v>
      </c>
      <c r="G1157">
        <v>4513</v>
      </c>
      <c r="H1157">
        <v>1</v>
      </c>
      <c r="I1157" s="5">
        <f t="shared" ref="I1157:I1180" si="37">G1157/H1157</f>
        <v>4513</v>
      </c>
      <c r="J1157" s="3">
        <v>45964</v>
      </c>
      <c r="L1157" t="s">
        <v>1066</v>
      </c>
    </row>
    <row r="1158" spans="1:12" ht="72.5" x14ac:dyDescent="0.35">
      <c r="A1158">
        <v>150000378</v>
      </c>
      <c r="B1158" t="s">
        <v>465</v>
      </c>
      <c r="E1158" t="s">
        <v>584</v>
      </c>
      <c r="F1158" s="1" t="s">
        <v>1240</v>
      </c>
      <c r="G1158">
        <v>4321</v>
      </c>
      <c r="H1158">
        <v>1</v>
      </c>
      <c r="I1158" s="5">
        <f t="shared" si="37"/>
        <v>4321</v>
      </c>
      <c r="J1158" s="3">
        <v>45964</v>
      </c>
      <c r="L1158" t="s">
        <v>1066</v>
      </c>
    </row>
    <row r="1159" spans="1:12" ht="72.5" x14ac:dyDescent="0.35">
      <c r="A1159">
        <v>150000379</v>
      </c>
      <c r="B1159" t="s">
        <v>466</v>
      </c>
      <c r="E1159" t="s">
        <v>584</v>
      </c>
      <c r="F1159" s="1" t="s">
        <v>1241</v>
      </c>
      <c r="G1159">
        <v>4449</v>
      </c>
      <c r="H1159">
        <v>1</v>
      </c>
      <c r="I1159" s="5">
        <f t="shared" si="37"/>
        <v>4449</v>
      </c>
      <c r="J1159" s="3">
        <v>45964</v>
      </c>
      <c r="L1159" t="s">
        <v>1066</v>
      </c>
    </row>
    <row r="1160" spans="1:12" ht="72.5" x14ac:dyDescent="0.35">
      <c r="A1160">
        <v>150000001</v>
      </c>
      <c r="B1160" t="s">
        <v>467</v>
      </c>
      <c r="E1160" t="s">
        <v>584</v>
      </c>
      <c r="F1160" s="1" t="s">
        <v>1242</v>
      </c>
      <c r="G1160">
        <v>2446</v>
      </c>
      <c r="H1160">
        <v>1</v>
      </c>
      <c r="I1160" s="5">
        <f t="shared" si="37"/>
        <v>2446</v>
      </c>
      <c r="J1160" s="3">
        <v>45964</v>
      </c>
      <c r="L1160" t="s">
        <v>1066</v>
      </c>
    </row>
    <row r="1161" spans="1:12" ht="72.5" x14ac:dyDescent="0.35">
      <c r="A1161">
        <v>100093620</v>
      </c>
      <c r="B1161" t="s">
        <v>468</v>
      </c>
      <c r="E1161" t="s">
        <v>584</v>
      </c>
      <c r="F1161" s="1" t="s">
        <v>1239</v>
      </c>
      <c r="G1161">
        <v>4513</v>
      </c>
      <c r="H1161">
        <v>1</v>
      </c>
      <c r="I1161" s="5">
        <f t="shared" si="37"/>
        <v>4513</v>
      </c>
      <c r="J1161" s="3">
        <v>45964</v>
      </c>
      <c r="L1161" t="s">
        <v>1066</v>
      </c>
    </row>
    <row r="1162" spans="1:12" ht="72.5" x14ac:dyDescent="0.35">
      <c r="A1162">
        <v>100093780</v>
      </c>
      <c r="B1162" t="s">
        <v>469</v>
      </c>
      <c r="E1162" t="s">
        <v>584</v>
      </c>
      <c r="F1162" s="1" t="s">
        <v>1240</v>
      </c>
      <c r="G1162">
        <v>4321</v>
      </c>
      <c r="H1162">
        <v>1</v>
      </c>
      <c r="I1162" s="5">
        <f t="shared" si="37"/>
        <v>4321</v>
      </c>
      <c r="J1162" s="3">
        <v>45964</v>
      </c>
      <c r="L1162" t="s">
        <v>1066</v>
      </c>
    </row>
    <row r="1163" spans="1:12" ht="72.5" x14ac:dyDescent="0.35">
      <c r="A1163">
        <v>104300530</v>
      </c>
      <c r="B1163" t="s">
        <v>472</v>
      </c>
      <c r="E1163" t="s">
        <v>584</v>
      </c>
      <c r="F1163" s="1" t="s">
        <v>1243</v>
      </c>
      <c r="G1163">
        <v>906</v>
      </c>
      <c r="H1163">
        <v>0.5</v>
      </c>
      <c r="I1163" s="5">
        <f t="shared" si="37"/>
        <v>1812</v>
      </c>
      <c r="J1163" s="3">
        <v>45964</v>
      </c>
      <c r="L1163" t="s">
        <v>1066</v>
      </c>
    </row>
    <row r="1164" spans="1:12" ht="72.5" x14ac:dyDescent="0.35">
      <c r="A1164">
        <v>104545030</v>
      </c>
      <c r="B1164" t="s">
        <v>473</v>
      </c>
      <c r="E1164" t="s">
        <v>584</v>
      </c>
      <c r="F1164" s="1" t="s">
        <v>1243</v>
      </c>
      <c r="G1164">
        <v>906</v>
      </c>
      <c r="H1164">
        <v>0.5</v>
      </c>
      <c r="I1164" s="5">
        <f t="shared" si="37"/>
        <v>1812</v>
      </c>
      <c r="J1164" s="3">
        <v>45964</v>
      </c>
      <c r="L1164" t="s">
        <v>1066</v>
      </c>
    </row>
    <row r="1165" spans="1:12" ht="72.5" x14ac:dyDescent="0.35">
      <c r="A1165">
        <v>104534090</v>
      </c>
      <c r="B1165" t="s">
        <v>474</v>
      </c>
      <c r="E1165" t="s">
        <v>584</v>
      </c>
      <c r="F1165" s="1" t="s">
        <v>1244</v>
      </c>
      <c r="G1165">
        <v>9547</v>
      </c>
      <c r="H1165">
        <v>5</v>
      </c>
      <c r="I1165" s="5">
        <f t="shared" si="37"/>
        <v>1909.4</v>
      </c>
      <c r="J1165" s="3">
        <v>45964</v>
      </c>
      <c r="L1165" t="s">
        <v>1066</v>
      </c>
    </row>
    <row r="1166" spans="1:12" ht="72.5" x14ac:dyDescent="0.35">
      <c r="A1166">
        <v>150001692</v>
      </c>
      <c r="B1166" t="s">
        <v>476</v>
      </c>
      <c r="E1166" t="s">
        <v>584</v>
      </c>
      <c r="F1166" s="1" t="s">
        <v>1245</v>
      </c>
      <c r="G1166">
        <v>3981</v>
      </c>
      <c r="H1166">
        <v>5</v>
      </c>
      <c r="I1166" s="5">
        <f t="shared" si="37"/>
        <v>796.2</v>
      </c>
      <c r="J1166" s="3">
        <v>45964</v>
      </c>
      <c r="L1166" t="s">
        <v>1066</v>
      </c>
    </row>
    <row r="1167" spans="1:12" ht="72.5" x14ac:dyDescent="0.35">
      <c r="A1167">
        <v>104526090</v>
      </c>
      <c r="B1167" t="s">
        <v>478</v>
      </c>
      <c r="E1167" t="s">
        <v>584</v>
      </c>
      <c r="F1167" s="1" t="s">
        <v>979</v>
      </c>
      <c r="G1167">
        <v>243</v>
      </c>
      <c r="H1167">
        <v>1</v>
      </c>
      <c r="I1167" s="5">
        <f t="shared" si="37"/>
        <v>243</v>
      </c>
      <c r="J1167" s="3">
        <v>45964</v>
      </c>
      <c r="L1167" t="s">
        <v>1066</v>
      </c>
    </row>
    <row r="1168" spans="1:12" ht="72.5" x14ac:dyDescent="0.35">
      <c r="A1168">
        <v>104525040</v>
      </c>
      <c r="B1168" t="s">
        <v>479</v>
      </c>
      <c r="E1168" t="s">
        <v>584</v>
      </c>
      <c r="F1168" s="1" t="s">
        <v>1246</v>
      </c>
      <c r="G1168">
        <v>6179</v>
      </c>
      <c r="H1168">
        <v>1</v>
      </c>
      <c r="I1168" s="5">
        <f t="shared" si="37"/>
        <v>6179</v>
      </c>
      <c r="J1168" s="3">
        <v>45964</v>
      </c>
      <c r="L1168" t="s">
        <v>1066</v>
      </c>
    </row>
    <row r="1169" spans="1:12" ht="72.5" x14ac:dyDescent="0.35">
      <c r="A1169">
        <v>150000983</v>
      </c>
      <c r="B1169" t="s">
        <v>483</v>
      </c>
      <c r="E1169" t="s">
        <v>584</v>
      </c>
      <c r="F1169" s="1" t="s">
        <v>1247</v>
      </c>
      <c r="G1169">
        <v>8077</v>
      </c>
      <c r="H1169">
        <v>0.96499999999999997</v>
      </c>
      <c r="I1169" s="5">
        <f t="shared" si="37"/>
        <v>8369.9481865284979</v>
      </c>
      <c r="J1169" s="3">
        <v>45964</v>
      </c>
      <c r="L1169" t="s">
        <v>1066</v>
      </c>
    </row>
    <row r="1170" spans="1:12" ht="72.5" x14ac:dyDescent="0.35">
      <c r="A1170">
        <v>104521820</v>
      </c>
      <c r="B1170" t="s">
        <v>492</v>
      </c>
      <c r="E1170" t="s">
        <v>584</v>
      </c>
      <c r="F1170" s="1" t="s">
        <v>1248</v>
      </c>
      <c r="G1170">
        <v>2054</v>
      </c>
      <c r="H1170">
        <v>0.5</v>
      </c>
      <c r="I1170" s="5">
        <f t="shared" si="37"/>
        <v>4108</v>
      </c>
      <c r="J1170" s="3">
        <v>45964</v>
      </c>
      <c r="L1170" t="s">
        <v>1066</v>
      </c>
    </row>
    <row r="1171" spans="1:12" ht="72.5" x14ac:dyDescent="0.35">
      <c r="A1171">
        <v>104521730</v>
      </c>
      <c r="B1171" t="s">
        <v>493</v>
      </c>
      <c r="E1171" t="s">
        <v>584</v>
      </c>
      <c r="F1171" s="1" t="s">
        <v>1249</v>
      </c>
      <c r="G1171">
        <v>2748</v>
      </c>
      <c r="H1171">
        <v>0.5</v>
      </c>
      <c r="I1171" s="5">
        <f t="shared" si="37"/>
        <v>5496</v>
      </c>
      <c r="J1171" s="3">
        <v>45964</v>
      </c>
      <c r="L1171" t="s">
        <v>1066</v>
      </c>
    </row>
    <row r="1172" spans="1:12" ht="72.5" x14ac:dyDescent="0.35">
      <c r="A1172">
        <v>104534450</v>
      </c>
      <c r="B1172" t="s">
        <v>494</v>
      </c>
      <c r="E1172" t="s">
        <v>584</v>
      </c>
      <c r="F1172" s="1" t="s">
        <v>1250</v>
      </c>
      <c r="G1172">
        <v>4120</v>
      </c>
      <c r="H1172">
        <v>0.84</v>
      </c>
      <c r="I1172" s="5">
        <f t="shared" si="37"/>
        <v>4904.7619047619046</v>
      </c>
      <c r="J1172" s="3">
        <v>45964</v>
      </c>
      <c r="L1172" t="s">
        <v>1066</v>
      </c>
    </row>
    <row r="1173" spans="1:12" ht="72.5" x14ac:dyDescent="0.35">
      <c r="A1173">
        <v>104534440</v>
      </c>
      <c r="B1173" t="s">
        <v>496</v>
      </c>
      <c r="E1173" t="s">
        <v>584</v>
      </c>
      <c r="F1173" s="1" t="s">
        <v>1251</v>
      </c>
      <c r="G1173">
        <v>5248</v>
      </c>
      <c r="H1173">
        <v>0.84</v>
      </c>
      <c r="I1173" s="5">
        <f t="shared" si="37"/>
        <v>6247.6190476190477</v>
      </c>
      <c r="J1173" s="3">
        <v>45964</v>
      </c>
      <c r="L1173" t="s">
        <v>1066</v>
      </c>
    </row>
    <row r="1174" spans="1:12" ht="72.5" x14ac:dyDescent="0.35">
      <c r="A1174">
        <v>104539200</v>
      </c>
      <c r="B1174" t="s">
        <v>499</v>
      </c>
      <c r="E1174" t="s">
        <v>584</v>
      </c>
      <c r="F1174" s="1" t="s">
        <v>1138</v>
      </c>
      <c r="G1174">
        <v>1625</v>
      </c>
      <c r="H1174">
        <v>0.36</v>
      </c>
      <c r="I1174" s="5">
        <f t="shared" si="37"/>
        <v>4513.8888888888887</v>
      </c>
      <c r="J1174" s="3">
        <v>45964</v>
      </c>
      <c r="L1174" t="s">
        <v>1066</v>
      </c>
    </row>
    <row r="1175" spans="1:12" ht="72.5" x14ac:dyDescent="0.35">
      <c r="A1175">
        <v>104539430</v>
      </c>
      <c r="B1175" t="s">
        <v>504</v>
      </c>
      <c r="E1175" t="s">
        <v>584</v>
      </c>
      <c r="F1175" s="1" t="s">
        <v>791</v>
      </c>
      <c r="G1175">
        <v>25633</v>
      </c>
      <c r="H1175">
        <f>_xlfn.XLOOKUP(A1175,'[1]BD LP'!$B:$B,'[1]BD LP'!$AC:$AC)</f>
        <v>5</v>
      </c>
      <c r="I1175" s="5">
        <f t="shared" si="37"/>
        <v>5126.6000000000004</v>
      </c>
      <c r="J1175" s="3">
        <v>45964</v>
      </c>
      <c r="L1175" t="s">
        <v>1066</v>
      </c>
    </row>
    <row r="1176" spans="1:12" ht="72.5" x14ac:dyDescent="0.35">
      <c r="A1176">
        <v>104521960</v>
      </c>
      <c r="B1176" t="s">
        <v>506</v>
      </c>
      <c r="E1176" t="s">
        <v>584</v>
      </c>
      <c r="F1176" s="1" t="s">
        <v>1252</v>
      </c>
      <c r="G1176">
        <v>11019</v>
      </c>
      <c r="H1176">
        <f>300 * 0.008</f>
        <v>2.4</v>
      </c>
      <c r="I1176" s="5">
        <f t="shared" si="37"/>
        <v>4591.25</v>
      </c>
      <c r="J1176" s="3">
        <v>45964</v>
      </c>
      <c r="L1176" t="s">
        <v>1066</v>
      </c>
    </row>
    <row r="1177" spans="1:12" ht="72.5" x14ac:dyDescent="0.35">
      <c r="A1177">
        <v>150000367</v>
      </c>
      <c r="B1177" t="s">
        <v>512</v>
      </c>
      <c r="E1177" t="s">
        <v>584</v>
      </c>
      <c r="F1177" s="1" t="s">
        <v>1253</v>
      </c>
      <c r="G1177">
        <v>3220</v>
      </c>
      <c r="H1177">
        <v>0.85</v>
      </c>
      <c r="I1177" s="5">
        <f t="shared" si="37"/>
        <v>3788.2352941176473</v>
      </c>
      <c r="J1177" s="3">
        <v>45964</v>
      </c>
      <c r="L1177" t="s">
        <v>1066</v>
      </c>
    </row>
    <row r="1178" spans="1:12" ht="72.5" x14ac:dyDescent="0.35">
      <c r="A1178">
        <v>150000369</v>
      </c>
      <c r="B1178" t="s">
        <v>520</v>
      </c>
      <c r="E1178" t="s">
        <v>584</v>
      </c>
      <c r="F1178" s="1" t="s">
        <v>795</v>
      </c>
      <c r="G1178">
        <v>2129</v>
      </c>
      <c r="H1178">
        <v>1</v>
      </c>
      <c r="I1178" s="5">
        <f t="shared" si="37"/>
        <v>2129</v>
      </c>
      <c r="J1178" s="3">
        <v>45964</v>
      </c>
      <c r="L1178" t="s">
        <v>1066</v>
      </c>
    </row>
    <row r="1179" spans="1:12" ht="72.5" x14ac:dyDescent="0.35">
      <c r="A1179">
        <v>150001186</v>
      </c>
      <c r="B1179" t="s">
        <v>521</v>
      </c>
      <c r="E1179" t="s">
        <v>584</v>
      </c>
      <c r="F1179" s="1" t="s">
        <v>1254</v>
      </c>
      <c r="G1179">
        <v>2179</v>
      </c>
      <c r="H1179">
        <v>1</v>
      </c>
      <c r="I1179" s="5">
        <f t="shared" si="37"/>
        <v>2179</v>
      </c>
      <c r="J1179" s="3">
        <v>45964</v>
      </c>
      <c r="L1179" t="s">
        <v>1066</v>
      </c>
    </row>
    <row r="1180" spans="1:12" ht="72.5" x14ac:dyDescent="0.35">
      <c r="A1180">
        <v>150000368</v>
      </c>
      <c r="B1180" t="s">
        <v>523</v>
      </c>
      <c r="E1180" t="s">
        <v>584</v>
      </c>
      <c r="F1180" s="1" t="s">
        <v>798</v>
      </c>
      <c r="G1180">
        <v>3003</v>
      </c>
      <c r="H1180">
        <v>1</v>
      </c>
      <c r="I1180" s="5">
        <f t="shared" si="37"/>
        <v>3003</v>
      </c>
      <c r="J1180" s="3">
        <v>45964</v>
      </c>
      <c r="L1180" t="s">
        <v>1066</v>
      </c>
    </row>
    <row r="1181" spans="1:12" ht="409.5" x14ac:dyDescent="0.35">
      <c r="A1181">
        <v>104524840</v>
      </c>
      <c r="B1181" t="s">
        <v>290</v>
      </c>
      <c r="E1181" t="s">
        <v>535</v>
      </c>
      <c r="F1181" s="1" t="s">
        <v>1255</v>
      </c>
      <c r="G1181">
        <v>1490</v>
      </c>
      <c r="H1181">
        <v>0.185</v>
      </c>
      <c r="I1181" s="5">
        <f>G1181/H1181/1.19</f>
        <v>6768.1126504655922</v>
      </c>
      <c r="J1181" s="3">
        <v>45967</v>
      </c>
      <c r="L1181" t="s">
        <v>1064</v>
      </c>
    </row>
    <row r="1182" spans="1:12" ht="101.5" x14ac:dyDescent="0.35">
      <c r="A1182">
        <v>104524840</v>
      </c>
      <c r="B1182" t="s">
        <v>290</v>
      </c>
      <c r="E1182" t="s">
        <v>535</v>
      </c>
      <c r="F1182" s="1" t="s">
        <v>1256</v>
      </c>
      <c r="G1182">
        <v>1000</v>
      </c>
      <c r="H1182">
        <v>0.185</v>
      </c>
      <c r="I1182" s="5">
        <f>G1182/H1182/1.19</f>
        <v>4542.357483533955</v>
      </c>
      <c r="J1182" s="3">
        <v>45967</v>
      </c>
      <c r="L1182" t="s">
        <v>1257</v>
      </c>
    </row>
    <row r="1183" spans="1:12" ht="72.5" x14ac:dyDescent="0.35">
      <c r="A1183">
        <v>104524840</v>
      </c>
      <c r="B1183" t="s">
        <v>290</v>
      </c>
      <c r="E1183" t="s">
        <v>584</v>
      </c>
      <c r="F1183" s="1" t="s">
        <v>1258</v>
      </c>
      <c r="G1183">
        <v>26990</v>
      </c>
      <c r="H1183">
        <f>24 * 0.185</f>
        <v>4.4399999999999995</v>
      </c>
      <c r="I1183" s="5">
        <f>G1183/H1183</f>
        <v>6078.8288288288295</v>
      </c>
      <c r="J1183" s="3">
        <v>45967</v>
      </c>
      <c r="L1183" t="s">
        <v>1066</v>
      </c>
    </row>
    <row r="1184" spans="1:12" ht="391.5" x14ac:dyDescent="0.35">
      <c r="A1184">
        <v>104523750</v>
      </c>
      <c r="B1184" t="s">
        <v>291</v>
      </c>
      <c r="E1184" t="s">
        <v>535</v>
      </c>
      <c r="F1184" s="1" t="s">
        <v>1259</v>
      </c>
      <c r="G1184">
        <v>790</v>
      </c>
      <c r="H1184">
        <v>0.09</v>
      </c>
      <c r="I1184" s="5">
        <f>G1184/H1184/1.19</f>
        <v>7376.283846872082</v>
      </c>
      <c r="J1184" s="3">
        <v>45967</v>
      </c>
      <c r="L1184" t="s">
        <v>1064</v>
      </c>
    </row>
    <row r="1185" spans="1:12" ht="72.5" x14ac:dyDescent="0.35">
      <c r="A1185">
        <v>104523750</v>
      </c>
      <c r="B1185" t="s">
        <v>291</v>
      </c>
      <c r="E1185" t="s">
        <v>584</v>
      </c>
      <c r="F1185" s="1" t="s">
        <v>1260</v>
      </c>
      <c r="G1185">
        <v>23443</v>
      </c>
      <c r="H1185">
        <f>50 * 0.1</f>
        <v>5</v>
      </c>
      <c r="I1185" s="5">
        <f>G1185/H1185</f>
        <v>4688.6000000000004</v>
      </c>
      <c r="J1185" s="3">
        <v>45967</v>
      </c>
      <c r="L1185" t="s">
        <v>1066</v>
      </c>
    </row>
    <row r="1186" spans="1:12" ht="72.5" x14ac:dyDescent="0.35">
      <c r="A1186">
        <v>104351590</v>
      </c>
      <c r="B1186" t="s">
        <v>126</v>
      </c>
      <c r="E1186" t="s">
        <v>584</v>
      </c>
      <c r="F1186" s="1" t="s">
        <v>1261</v>
      </c>
      <c r="G1186">
        <v>49245</v>
      </c>
      <c r="H1186">
        <f>76 * 0.07</f>
        <v>5.32</v>
      </c>
      <c r="I1186" s="5">
        <f t="shared" ref="I1186:I1187" si="38">G1186/H1186</f>
        <v>9256.5789473684199</v>
      </c>
      <c r="J1186" s="3">
        <v>45971</v>
      </c>
      <c r="L1186" t="s">
        <v>1066</v>
      </c>
    </row>
    <row r="1187" spans="1:12" ht="72.5" x14ac:dyDescent="0.35">
      <c r="A1187">
        <v>104524330</v>
      </c>
      <c r="B1187" t="s">
        <v>95</v>
      </c>
      <c r="C1187" s="1"/>
      <c r="E1187" t="s">
        <v>584</v>
      </c>
      <c r="F1187" s="1" t="s">
        <v>1263</v>
      </c>
      <c r="G1187">
        <v>40680</v>
      </c>
      <c r="H1187">
        <v>12</v>
      </c>
      <c r="I1187" s="5">
        <f t="shared" si="38"/>
        <v>3390</v>
      </c>
      <c r="J1187" s="3">
        <v>45947</v>
      </c>
      <c r="L1187" t="s">
        <v>1066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  <hyperlink ref="F1154" r:id="rId36" location="/products/detail/300157014" xr:uid="{F2FB3B05-B7A5-49A3-A32E-07CF6BCA3F7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2025-11-18T19:21:55Z</dcterms:modified>
</cp:coreProperties>
</file>