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193" documentId="11_AD4D2F04E46CFB4ACB3E200E4DD7FD88683EDF28" xr6:coauthVersionLast="47" xr6:coauthVersionMax="47" xr10:uidLastSave="{3A98D7F4-D309-4C32-88DE-A1BF966B425B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86" i="5" l="1"/>
  <c r="I850" i="5"/>
  <c r="H1185" i="5"/>
  <c r="I1185" i="5"/>
  <c r="I1184" i="5"/>
  <c r="H1183" i="5"/>
  <c r="I1183" i="5"/>
  <c r="I1182" i="5"/>
  <c r="I1181" i="5"/>
  <c r="H750" i="5"/>
  <c r="I1180" i="5"/>
  <c r="I1179" i="5"/>
  <c r="I1178" i="5"/>
  <c r="I1177" i="5"/>
  <c r="H1176" i="5"/>
  <c r="I1176" i="5"/>
  <c r="H1175" i="5"/>
  <c r="I1175" i="5" s="1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 s="1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86" i="5" l="1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/>
  <c r="H1098" i="5"/>
  <c r="I1098" i="5" s="1"/>
  <c r="H1097" i="5"/>
  <c r="I1097" i="5" s="1"/>
  <c r="H1096" i="5"/>
  <c r="I1096" i="5"/>
  <c r="H1095" i="5"/>
  <c r="I1095" i="5" s="1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 s="1"/>
  <c r="H1010" i="5"/>
  <c r="I1010" i="5" s="1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1" i="5"/>
  <c r="H121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7" i="5"/>
  <c r="H167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5" i="5"/>
  <c r="H325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 s="1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 s="1"/>
  <c r="H642" i="5"/>
  <c r="I642" i="5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 s="1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<sst xmlns="http://schemas.openxmlformats.org/spreadsheetml/2006/main" count="5072" uniqueCount="1263">
  <si>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</si>
  <si>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</si>
  <si>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</si>
  <si>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</si>
  <si>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</si>
  <si>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</si>
  <si>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</si>
  <si>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</si>
  <si>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</si>
  <si>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</si>
  <si>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</si>
  <si>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</si>
  <si>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</si>
  <si>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</si>
  <si>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</si>
  <si>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</si>
  <si>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</si>
  <si>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</si>
  <si>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</si>
  <si>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</si>
  <si>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</si>
  <si>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</si>
  <si>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</si>
  <si>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</si>
  <si>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</si>
  <si>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</si>
  <si>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</si>
  <si>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</si>
  <si>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</si>
  <si>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</si>
  <si>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</si>
  <si>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</si>
  <si>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</si>
  <si>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</si>
  <si>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</si>
  <si>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</si>
  <si>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</si>
  <si>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</si>
  <si>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</si>
  <si>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</si>
  <si>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</si>
  <si>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</si>
  <si>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</si>
  <si>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</si>
  <si>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</si>
  <si>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</si>
  <si>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</si>
  <si>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</si>
  <si>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</si>
  <si>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</si>
  <si>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</si>
  <si>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</si>
  <si>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</si>
  <si>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</si>
  <si>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</si>
  <si>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</si>
  <si>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</si>
  <si>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</si>
  <si>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</si>
  <si>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</si>
  <si>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</si>
  <si>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</si>
  <si>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</si>
  <si>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</si>
  <si>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</si>
  <si>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</si>
  <si>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</si>
  <si>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</si>
  <si>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</si>
  <si>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</si>
  <si>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</si>
  <si>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</si>
  <si>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</si>
  <si>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</si>
  <si>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</si>
  <si>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</si>
  <si>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</si>
  <si>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</si>
  <si>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</si>
  <si>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</si>
  <si>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</si>
  <si>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</si>
  <si>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</si>
  <si>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</si>
  <si>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</si>
  <si>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</si>
  <si>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</si>
  <si>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</si>
  <si>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</si>
  <si>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</si>
  <si>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</si>
  <si>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</si>
  <si>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</si>
  <si>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</si>
  <si>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</si>
  <si>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</si>
  <si>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</si>
  <si>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</si>
  <si>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</si>
  <si>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</si>
  <si>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</si>
  <si>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</si>
  <si>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</si>
  <si>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</si>
  <si>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</si>
  <si>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</si>
  <si>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</si>
  <si>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</si>
  <si>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</si>
  <si>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</si>
  <si>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</si>
  <si>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</si>
  <si>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</si>
  <si>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</si>
  <si>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</si>
  <si>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</si>
  <si>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</si>
  <si>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</si>
  <si>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</si>
  <si>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</si>
  <si>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</si>
  <si>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</si>
  <si>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</si>
  <si>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</si>
  <si>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</si>
  <si>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</si>
  <si>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</si>
  <si>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</si>
  <si>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</si>
  <si>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</si>
  <si>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</si>
  <si>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</si>
  <si>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</si>
  <si>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</si>
  <si>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</si>
  <si>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</si>
  <si>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</si>
  <si>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</si>
  <si>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</si>
  <si>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</si>
  <si>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</si>
  <si>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</si>
  <si>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</si>
  <si>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</si>
  <si>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</si>
  <si>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</si>
  <si>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</si>
  <si>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</si>
  <si>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</si>
  <si>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</si>
  <si>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</si>
  <si>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</si>
  <si>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</si>
  <si>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</si>
  <si>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</si>
  <si>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</si>
  <si>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</si>
  <si>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</si>
  <si>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</si>
  <si>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</si>
  <si>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</si>
  <si>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</si>
  <si>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</si>
  <si>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</si>
  <si>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</si>
  <si>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</si>
  <si>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</si>
  <si>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</si>
  <si>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</si>
  <si>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</si>
  <si>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</si>
  <si>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</si>
  <si>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</si>
  <si>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</si>
  <si>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</si>
  <si>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</si>
  <si>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</si>
  <si>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</si>
  <si>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</si>
  <si>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</si>
  <si>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</si>
  <si>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</si>
  <si>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</si>
  <si>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</si>
  <si>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</si>
  <si>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</si>
  <si>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</si>
  <si>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</si>
  <si>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</si>
  <si>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</si>
  <si>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</si>
  <si>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</si>
  <si>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</si>
  <si>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</si>
  <si>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</si>
  <si>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</si>
  <si>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</si>
  <si>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</si>
  <si>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</si>
  <si>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</si>
  <si>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</si>
  <si>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</si>
  <si>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</si>
  <si>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</si>
  <si>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</si>
  <si>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</si>
  <si>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</si>
  <si>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</si>
  <si>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</si>
  <si>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</si>
  <si>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</si>
  <si>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</si>
  <si>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</si>
  <si>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</si>
  <si>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</si>
  <si>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</si>
  <si>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</si>
  <si>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</si>
  <si>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</si>
  <si>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</si>
  <si>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</si>
  <si>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</si>
  <si>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</si>
  <si>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</si>
  <si>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</si>
  <si>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</si>
  <si>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</si>
  <si>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</si>
  <si>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</si>
  <si>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</si>
  <si>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</si>
  <si>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</si>
  <si>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</si>
  <si>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</si>
  <si>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</si>
  <si>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</si>
  <si>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</si>
  <si>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</si>
  <si>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</si>
  <si>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</si>
  <si>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</si>
  <si>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</si>
  <si>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</si>
  <si>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</si>
  <si>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</si>
  <si>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</si>
  <si>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</si>
  <si>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</si>
  <si>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</si>
  <si>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</si>
  <si>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</si>
  <si>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</si>
  <si>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</si>
  <si>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</si>
  <si>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</si>
  <si>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</si>
  <si>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</si>
  <si>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</si>
  <si>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</si>
  <si>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</si>
  <si>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</si>
  <si>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</si>
  <si>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</si>
  <si>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</si>
  <si>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</si>
  <si>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</si>
  <si>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</si>
  <si>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</si>
  <si>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</si>
  <si>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</si>
  <si>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</si>
  <si>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</si>
  <si>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</si>
  <si>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</si>
  <si>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</si>
  <si>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</si>
  <si>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</si>
  <si>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</si>
  <si>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</si>
  <si>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</si>
  <si>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</si>
  <si>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</si>
  <si>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</si>
  <si>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</si>
  <si>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</si>
  <si>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</si>
  <si>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</si>
  <si>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</si>
  <si>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</si>
  <si>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</si>
  <si>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</si>
  <si>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</si>
  <si>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</si>
  <si>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</si>
  <si>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</si>
  <si>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</si>
  <si>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</si>
  <si>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</si>
  <si>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</si>
  <si>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</si>
  <si>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</si>
  <si>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</si>
  <si>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</si>
  <si>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</si>
  <si>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</si>
  <si>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</si>
  <si>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</si>
  <si>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</si>
  <si>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</si>
  <si>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</si>
  <si>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</si>
  <si>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</si>
  <si>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</si>
  <si>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</si>
  <si>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</si>
  <si>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</si>
  <si>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</si>
  <si>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</si>
  <si>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</si>
  <si>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</si>
  <si>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</si>
  <si>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</si>
  <si>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</si>
  <si>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</si>
  <si>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</si>
  <si>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</si>
  <si>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</si>
  <si>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</si>
  <si>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</si>
  <si>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</si>
  <si>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</si>
  <si>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</si>
  <si>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</si>
  <si>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</si>
  <si>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</si>
  <si>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</si>
  <si>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</si>
  <si>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</si>
  <si>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</si>
  <si>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</si>
  <si>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</si>
  <si>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</si>
  <si>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</si>
  <si>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</si>
  <si>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</si>
  <si>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</si>
  <si>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</si>
  <si>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</si>
  <si>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</si>
  <si>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</si>
  <si>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</si>
  <si>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</si>
  <si>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</si>
  <si>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</si>
  <si>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</si>
  <si>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</si>
  <si>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</si>
  <si>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</si>
  <si>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</si>
  <si>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</si>
  <si>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</si>
  <si>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</si>
  <si>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</si>
  <si>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</si>
  <si>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</si>
  <si>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</si>
  <si>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</si>
  <si>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</si>
  <si>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</si>
  <si>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</si>
  <si>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</si>
  <si>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</si>
  <si>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</si>
  <si>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</si>
  <si>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</si>
  <si>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</si>
  <si>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</si>
  <si>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</si>
  <si>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</si>
  <si>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</si>
  <si>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</si>
  <si>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</si>
  <si>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</si>
  <si>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</si>
  <si>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</si>
  <si>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</si>
  <si>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</si>
  <si>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</si>
  <si>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</si>
  <si>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</si>
  <si>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</si>
  <si>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</si>
  <si>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</si>
  <si>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</si>
  <si>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</si>
  <si>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</si>
  <si>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</si>
  <si>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</si>
  <si>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</si>
  <si>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</si>
  <si>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</si>
  <si>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</si>
  <si>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</si>
  <si>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</si>
  <si>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</si>
  <si>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</si>
  <si>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</si>
  <si>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</si>
  <si>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</si>
  <si>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</si>
  <si>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</si>
  <si>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</si>
  <si>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</si>
  <si>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</si>
  <si>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</si>
  <si>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</si>
  <si>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</si>
  <si>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</si>
  <si>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</si>
  <si>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</si>
  <si>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</si>
  <si>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</si>
  <si>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</si>
  <si>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</si>
  <si>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</si>
  <si>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</si>
  <si>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</si>
  <si>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</si>
  <si>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</si>
  <si>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</si>
  <si>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</si>
  <si>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</si>
  <si>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</si>
  <si>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</si>
  <si>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</si>
  <si>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</si>
  <si>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</si>
  <si>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</si>
  <si>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</si>
  <si>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</si>
  <si>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</si>
  <si>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</si>
  <si>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</si>
  <si>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</si>
  <si>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</si>
  <si>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</si>
  <si>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</si>
  <si>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</si>
  <si>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</si>
  <si>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</si>
  <si>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</si>
  <si>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</si>
  <si>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</si>
  <si>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</si>
  <si>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</si>
  <si>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</si>
  <si>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</si>
  <si>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</si>
  <si>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</si>
  <si>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</si>
  <si>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</si>
  <si>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</si>
  <si>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</si>
  <si>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</si>
  <si>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</si>
  <si>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</si>
  <si>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</si>
  <si>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</si>
  <si>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</si>
  <si>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</si>
  <si>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</si>
  <si>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</si>
  <si>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</si>
  <si>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</si>
  <si>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</si>
  <si>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</si>
  <si>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</si>
  <si>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</si>
  <si>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</si>
  <si>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</si>
  <si>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</si>
  <si>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</si>
  <si>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</si>
  <si>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</si>
  <si>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</si>
  <si>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</si>
  <si>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</si>
  <si>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</si>
  <si>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</si>
  <si>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</si>
  <si>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</si>
  <si>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</si>
  <si>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</si>
  <si>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</si>
  <si>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</si>
  <si>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</si>
  <si>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</si>
  <si>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</si>
  <si>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</si>
  <si>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</si>
  <si>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</si>
  <si>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</si>
  <si>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</si>
  <si>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</si>
  <si>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</si>
  <si>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</si>
  <si>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</si>
  <si>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</si>
  <si>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</si>
  <si>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</si>
  <si>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</si>
  <si>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</si>
  <si>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</si>
  <si>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</si>
  <si>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</si>
  <si>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</si>
  <si>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</si>
  <si>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</si>
  <si>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</si>
  <si>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</si>
  <si>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</si>
  <si>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</si>
  <si>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</si>
  <si>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</si>
  <si>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</si>
  <si>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</si>
  <si>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</si>
  <si>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</si>
  <si>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</si>
  <si>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</si>
  <si>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</si>
  <si>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</si>
  <si>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</si>
  <si>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</si>
  <si>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</si>
  <si>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</si>
  <si>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</si>
  <si>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</si>
  <si>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</si>
  <si>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</si>
  <si>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</si>
  <si>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</si>
  <si>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</si>
  <si>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</si>
  <si>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</si>
  <si>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</si>
  <si>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</si>
  <si>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</si>
  <si>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</si>
  <si>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</si>
  <si>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</si>
  <si>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</si>
  <si>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</si>
  <si>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</si>
  <si>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</si>
  <si>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</si>
  <si>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</si>
  <si>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</si>
  <si>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</si>
  <si>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</si>
  <si>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</si>
  <si>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</si>
  <si>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</si>
  <si>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</si>
  <si>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</si>
  <si>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</si>
  <si>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</si>
  <si>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</si>
  <si>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</si>
  <si>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</si>
  <si>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</si>
  <si>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</si>
  <si>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</si>
  <si>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</si>
  <si>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</si>
  <si>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</si>
  <si>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</si>
  <si>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</si>
  <si>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</si>
  <si>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</si>
  <si>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</si>
  <si>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</si>
  <si>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</si>
  <si>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</si>
  <si>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</si>
  <si>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</si>
  <si>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</si>
  <si>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</si>
  <si>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</si>
  <si>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</si>
  <si>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</si>
  <si>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</si>
  <si>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</si>
  <si>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</si>
  <si>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</si>
  <si>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</si>
  <si>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</si>
  <si>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</si>
  <si>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</si>
  <si>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</si>
  <si>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</si>
  <si>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</si>
  <si>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</si>
  <si>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</si>
  <si>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</si>
  <si>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</si>
  <si>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</si>
  <si>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</si>
  <si>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</si>
  <si>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</si>
  <si>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</si>
  <si>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</si>
  <si>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</si>
  <si>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</si>
  <si>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</si>
  <si>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</si>
  <si>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</si>
  <si>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</si>
  <si>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</si>
  <si>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</si>
  <si>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</si>
  <si>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</si>
  <si>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</si>
  <si>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</si>
  <si>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</si>
  <si>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</si>
  <si>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</si>
  <si>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</si>
  <si>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</si>
  <si>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</si>
  <si>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</si>
  <si>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</si>
  <si>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</si>
  <si>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</si>
  <si>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</si>
  <si>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</si>
  <si>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</si>
  <si>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</si>
  <si>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</si>
  <si>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</si>
  <si>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</si>
  <si>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</si>
  <si>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</si>
  <si>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</si>
  <si>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</si>
  <si>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</si>
  <si>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</si>
  <si>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</si>
  <si>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</si>
  <si>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</si>
  <si>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</si>
  <si>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</si>
  <si>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</si>
  <si>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</si>
  <si>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</si>
  <si>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</si>
  <si>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</si>
  <si>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</si>
  <si>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</si>
  <si>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</si>
  <si>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</si>
  <si>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</si>
  <si>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</si>
  <si>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</si>
  <si>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</si>
  <si>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</si>
  <si>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</si>
  <si>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</si>
  <si>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</si>
  <si>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</si>
  <si>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</si>
  <si>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</si>
  <si>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</si>
  <si>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</si>
  <si>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</si>
  <si>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</si>
  <si>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</si>
  <si>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</si>
  <si>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</si>
  <si>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</si>
  <si>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</si>
  <si>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</si>
  <si>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</si>
  <si>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</si>
  <si>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</si>
  <si>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</si>
  <si>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</si>
  <si>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</si>
  <si>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</si>
  <si>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</si>
  <si>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</si>
  <si>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</si>
  <si>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</si>
  <si>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</si>
  <si>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</si>
  <si>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</si>
  <si>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</si>
  <si>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</si>
  <si>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</si>
  <si>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</si>
  <si>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</si>
  <si>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</si>
  <si>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</si>
  <si>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</si>
  <si>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</si>
  <si>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</si>
  <si>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</si>
  <si>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</si>
  <si>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</si>
  <si>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</si>
  <si>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</si>
  <si>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</si>
  <si>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</si>
  <si>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</si>
  <si>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</si>
  <si>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</si>
  <si>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</si>
  <si>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</si>
  <si>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</si>
  <si>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</si>
  <si>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</si>
  <si>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</si>
  <si>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</si>
  <si>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</si>
  <si>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</si>
  <si>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</si>
  <si>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</si>
  <si>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</si>
  <si>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</si>
  <si>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</si>
  <si>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</si>
  <si>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</si>
  <si>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</si>
  <si>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</si>
  <si>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</si>
  <si>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</si>
  <si>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</si>
  <si>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</si>
  <si>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</si>
  <si>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</si>
  <si>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</si>
  <si>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</si>
  <si>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</si>
  <si>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</si>
  <si>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</si>
  <si>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</si>
  <si>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</si>
  <si>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</si>
  <si>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</si>
  <si>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</si>
  <si>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</si>
  <si>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</si>
  <si>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</si>
  <si>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</si>
  <si>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</si>
  <si>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</si>
  <si>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</si>
  <si>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</si>
  <si>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</si>
  <si>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</si>
  <si>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</si>
  <si>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</si>
  <si>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</si>
  <si>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</si>
  <si>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</si>
  <si>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</si>
  <si>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</si>
  <si>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</si>
  <si>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</si>
  <si>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</si>
  <si>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</si>
  <si>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</si>
  <si>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</si>
  <si>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</si>
  <si>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</si>
  <si>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</si>
  <si>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</si>
  <si>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</si>
  <si>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</si>
  <si>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</si>
  <si>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</si>
  <si>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</si>
  <si>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</si>
  <si>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</si>
  <si>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</si>
  <si>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</si>
  <si>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</si>
  <si>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</si>
  <si>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</si>
  <si>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</si>
  <si>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</si>
  <si>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</si>
  <si>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</si>
  <si>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</si>
  <si>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</si>
  <si>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</si>
  <si>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</si>
  <si>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</si>
  <si>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</si>
  <si>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</si>
  <si>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</si>
  <si>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</si>
  <si>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</si>
  <si>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</si>
  <si>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</si>
  <si>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</si>
  <si>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</si>
  <si>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</si>
  <si>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</si>
  <si>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</si>
  <si>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</si>
  <si>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</si>
  <si>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</si>
  <si>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</si>
  <si>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</si>
  <si>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</si>
  <si>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</si>
  <si>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</si>
  <si>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</si>
  <si>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</si>
  <si>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</si>
  <si>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</si>
  <si>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</si>
  <si>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</si>
  <si>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</si>
  <si>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</si>
  <si>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</si>
  <si>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</si>
  <si>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</si>
  <si>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</si>
  <si>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</si>
  <si>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</si>
  <si>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</si>
  <si>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</si>
  <si>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</si>
  <si>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</si>
  <si>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</si>
  <si>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</si>
  <si>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</si>
  <si>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</si>
  <si>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</si>
  <si>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</si>
  <si>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</si>
  <si>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</si>
  <si>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</si>
  <si>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</si>
  <si>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</si>
  <si>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</si>
  <si>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</si>
  <si>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</si>
  <si>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</si>
  <si>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</si>
  <si>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</si>
  <si>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</si>
  <si>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</si>
  <si>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</si>
  <si>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</si>
  <si>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</si>
  <si>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</si>
  <si>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</si>
  <si>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</si>
  <si>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</si>
  <si>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</si>
  <si>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</si>
  <si>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</si>
  <si>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</si>
  <si>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</si>
  <si>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</si>
  <si>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</si>
  <si>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</si>
  <si>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</si>
  <si>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</si>
  <si>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</si>
  <si>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</si>
  <si>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</si>
  <si>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</si>
  <si>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</si>
  <si>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</si>
  <si>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</si>
  <si>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</si>
  <si>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</si>
  <si>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</si>
  <si>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</si>
  <si>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</si>
  <si>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</si>
  <si>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</si>
  <si>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</si>
  <si>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</si>
  <si>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</si>
  <si>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</si>
  <si>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</si>
  <si>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</si>
  <si>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</si>
  <si>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</si>
  <si>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</si>
  <si>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</si>
  <si>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</si>
  <si>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</si>
  <si>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</si>
  <si>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</si>
  <si>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</si>
  <si>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</si>
  <si>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</si>
  <si>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</si>
  <si>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</si>
  <si>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</si>
  <si>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</si>
  <si>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</si>
  <si>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</si>
  <si>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</si>
  <si>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</si>
  <si>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</si>
  <si>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</si>
  <si>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</si>
  <si>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</si>
  <si>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</si>
  <si>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</si>
  <si>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</si>
  <si>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</si>
  <si>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</si>
  <si>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</si>
  <si>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</si>
  <si>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</si>
  <si>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</si>
  <si>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</si>
  <si>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</si>
  <si>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</si>
  <si>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</si>
  <si>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</si>
  <si>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</si>
  <si>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</si>
  <si>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</si>
  <si>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</si>
  <si>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</si>
  <si>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</si>
  <si>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</si>
  <si>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</si>
  <si>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</si>
  <si>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</si>
  <si>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</si>
  <si>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</si>
  <si>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</si>
  <si>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</si>
  <si>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</si>
  <si>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</si>
  <si>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</si>
  <si>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</si>
  <si>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</si>
  <si>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</si>
  <si>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</si>
  <si>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</si>
  <si>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</si>
  <si>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</si>
  <si>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</si>
  <si>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</si>
  <si>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</si>
  <si>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</si>
  <si>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</si>
  <si>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</si>
  <si>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</si>
  <si>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</si>
  <si>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</si>
  <si>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</si>
  <si>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</si>
  <si>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</si>
  <si>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</si>
  <si>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</si>
  <si>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</si>
  <si>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</si>
  <si>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</si>
  <si>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</si>
  <si>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</si>
  <si>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</si>
  <si>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</si>
  <si>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</si>
  <si>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</si>
  <si>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</si>
  <si>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</si>
  <si>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</si>
  <si>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</si>
  <si>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</si>
  <si>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</si>
  <si>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</si>
  <si>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</si>
  <si>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</si>
  <si>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</si>
  <si>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</si>
  <si>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</si>
  <si>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</si>
  <si>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</si>
  <si>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</si>
  <si>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</si>
  <si>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</si>
  <si>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</si>
  <si>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</si>
  <si>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</si>
  <si>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</si>
  <si>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</si>
  <si>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</si>
  <si>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</si>
  <si>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</si>
  <si>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</si>
  <si>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</si>
  <si>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</si>
  <si>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</si>
  <si>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</si>
  <si>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</si>
  <si>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</si>
  <si>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</si>
  <si>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</si>
  <si>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</si>
  <si>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</si>
  <si>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</si>
  <si>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</si>
  <si>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</si>
  <si>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</si>
  <si>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</si>
  <si>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</si>
  <si>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</si>
  <si>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</si>
  <si>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</si>
  <si>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</si>
  <si>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</si>
  <si>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</si>
  <si>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</si>
  <si>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</si>
  <si>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</si>
  <si>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</si>
  <si>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</si>
  <si>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</si>
  <si>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</si>
  <si>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</si>
  <si>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</si>
  <si>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</si>
  <si>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</si>
  <si>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</si>
  <si>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</si>
  <si>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</si>
  <si>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</si>
  <si>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</si>
  <si>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</si>
  <si>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</si>
  <si>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</si>
  <si>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</si>
  <si>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</si>
  <si>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</si>
  <si>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</si>
  <si>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</si>
  <si>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</si>
  <si>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</si>
  <si>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</si>
  <si>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</si>
  <si>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</si>
  <si>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</si>
  <si>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</si>
  <si>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</si>
  <si>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</si>
  <si>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</si>
  <si>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</si>
  <si>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</si>
  <si>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</si>
  <si>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</si>
  <si>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</si>
  <si>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</si>
  <si>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</si>
  <si>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</si>
  <si>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</si>
  <si>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</si>
  <si>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</si>
  <si>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</si>
  <si>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</si>
  <si>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</si>
  <si>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</si>
  <si>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</si>
  <si>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</si>
  <si>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</si>
  <si>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</si>
  <si>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</si>
  <si>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</si>
  <si>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</si>
  <si>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</si>
  <si>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</si>
  <si>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</si>
  <si>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</si>
  <si>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</si>
  <si>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</si>
  <si>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</si>
  <si>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</si>
  <si>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</si>
  <si>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</si>
  <si>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</si>
  <si>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</si>
  <si>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</si>
  <si>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</si>
  <si>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</si>
  <si>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</si>
  <si>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</si>
  <si>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</si>
  <si>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</si>
  <si>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</si>
  <si>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</si>
  <si>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</si>
  <si>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</si>
  <si>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</si>
  <si>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</si>
  <si>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</si>
  <si>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</si>
  <si>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</si>
  <si>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</si>
  <si>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</si>
  <si>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</si>
  <si>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</si>
  <si>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</si>
  <si>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</si>
  <si>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</si>
  <si>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</si>
  <si>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</si>
  <si>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</si>
  <si>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</si>
  <si>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</si>
  <si>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</si>
  <si>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</si>
  <si>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</si>
  <si>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</si>
  <si>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</si>
  <si>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</si>
  <si>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</si>
  <si>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</si>
  <si>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</si>
  <si>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</si>
  <si>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</si>
  <si>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</si>
  <si>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</si>
  <si>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</si>
  <si>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</si>
  <si>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</si>
  <si>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</si>
  <si>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</si>
  <si>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</si>
  <si>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</si>
  <si>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</si>
  <si>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</si>
  <si>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</si>
  <si>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</si>
  <si>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</si>
  <si>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</si>
  <si>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</si>
  <si>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</si>
  <si>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</si>
  <si>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</si>
  <si>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</si>
  <si>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</si>
  <si>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</si>
  <si>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</si>
  <si>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</si>
  <si>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</si>
  <si>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</si>
  <si>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</si>
  <si>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</si>
  <si>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</si>
  <si>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</si>
  <si>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</si>
  <si>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</si>
  <si>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</si>
  <si>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</si>
  <si>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</si>
  <si>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</si>
  <si>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</si>
  <si>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</si>
  <si>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</si>
  <si>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</si>
  <si>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</si>
  <si>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</si>
  <si>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</si>
  <si>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</si>
  <si>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</si>
  <si>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</si>
  <si>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</si>
  <si>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</si>
  <si>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</si>
  <si>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</si>
  <si>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</si>
  <si>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</si>
  <si>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</si>
  <si>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</si>
  <si>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</si>
  <si>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</si>
  <si>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</si>
  <si>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</si>
  <si>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</si>
  <si>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</si>
  <si>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</si>
  <si>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</si>
  <si>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</si>
  <si>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</si>
  <si>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</si>
  <si>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</si>
  <si>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</si>
  <si>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</si>
  <si>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</si>
  <si>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</si>
  <si>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</si>
  <si>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</si>
  <si>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</si>
  <si>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</si>
  <si>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</si>
  <si>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</si>
  <si>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</si>
  <si>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</si>
  <si>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</si>
  <si>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</si>
  <si>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</si>
  <si>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</si>
  <si>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</si>
  <si>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</si>
  <si>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</si>
  <si>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</si>
  <si>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</si>
  <si>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</si>
  <si>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</si>
  <si>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</si>
  <si>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</si>
  <si>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</si>
  <si>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</si>
  <si>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</si>
  <si>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</si>
  <si>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</si>
  <si>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</si>
  <si>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</si>
  <si>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</si>
  <si>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</si>
  <si>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</si>
  <si>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</si>
  <si>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</si>
  <si>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</si>
  <si>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</si>
  <si>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</si>
  <si>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</si>
  <si>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</si>
  <si>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</si>
  <si>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</si>
  <si>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</si>
  <si>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</si>
  <si>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</si>
  <si>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</si>
  <si>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</si>
  <si>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</si>
  <si>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</si>
  <si>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</si>
  <si>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</si>
  <si>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</si>
  <si>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</si>
  <si>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</si>
  <si>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</si>
  <si>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</si>
  <si>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</si>
  <si>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</si>
  <si>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</si>
  <si>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</si>
  <si>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</si>
  <si>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</si>
  <si>
    <t>https://www.mybidfood.cl/#/products/detail/200201017</t>
  </si>
  <si>
    <t>https://www.mybidfood.cl/#/products/detail/200250010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</si>
</sst>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86"/>
  <sheetViews>
    <sheetView tabSelected="1" zoomScale="76" workbookViewId="0">
      <pane ySplit="1" topLeftCell="A2" activePane="bottomLeft" state="frozen"/>
      <selection pane="bottomLeft" activeCell="E11" sqref="E11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 t="shared" ref="I2:I65" si="0"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si="0"/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ref="I66:I129" si="1"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si="1"/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 t="e">
        <f>_xlfn.XLOOKUP(A121,'[1]BD LP'!$B:$B,'[1]BD LP'!$Y:$Y)</f>
        <v>#N/A</v>
      </c>
      <c r="H121" t="e">
        <f>_xlfn.XLOOKUP(A121,'[1]BD LP'!$B:$B,'[1]BD LP'!$AC:$AC)</f>
        <v>#N/A</v>
      </c>
      <c r="I121" s="5" t="e">
        <f t="shared" si="1"/>
        <v>#N/A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 t="e">
        <f>_xlfn.XLOOKUP(A167,'[1]BD LP'!$B:$B,'[1]BD LP'!$Y:$Y)</f>
        <v>#N/A</v>
      </c>
      <c r="H167" t="e">
        <f>_xlfn.XLOOKUP(A167,'[1]BD LP'!$B:$B,'[1]BD LP'!$AC:$AC)</f>
        <v>#N/A</v>
      </c>
      <c r="I167" s="5" t="e">
        <f t="shared" si="2"/>
        <v>#N/A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 t="shared" si="3"/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>
        <v>104539700</v>
      </c>
      <c r="B325" t="s">
        <v>380</v>
      </c>
      <c r="E325" t="s">
        <v>534</v>
      </c>
      <c r="F325" s="1" t="s">
        <v>980</v>
      </c>
      <c r="G325" t="e">
        <f>_xlfn.XLOOKUP(A325,'[1]BD LP'!$B:$B,'[1]BD LP'!$Y:$Y)</f>
        <v>#N/A</v>
      </c>
      <c r="H325" t="e">
        <f>_xlfn.XLOOKUP(A325,'[1]BD LP'!$B:$B,'[1]BD LP'!$AC:$AC)</f>
        <v>#N/A</v>
      </c>
      <c r="I325" s="5" t="e">
        <f t="shared" si="5"/>
        <v>#N/A</v>
      </c>
      <c r="J325" s="3">
        <v>45947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9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si="6"/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ref="I450:I478" si="7"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 t="shared" si="7"/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27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ref="I529:I535" si="11"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1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1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1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1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1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1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2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2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2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2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2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2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2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3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3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3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3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3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3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3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3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3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3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3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3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3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3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3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3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3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3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3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3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3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3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3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3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3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3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3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3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3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3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4" si="14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4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4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4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4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4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4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4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4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4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4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4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4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4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4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4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4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4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4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4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4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4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4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4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4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4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4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4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ref="I606:I620" si="15"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5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5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si="15"/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5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5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5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5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5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5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5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5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5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5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5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ref="I622:I640" si="16"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6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6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6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6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6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6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6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6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6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6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6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6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6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6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6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6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6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 t="shared" si="16"/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7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7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7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7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7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7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7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7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7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7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7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7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7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7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7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7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7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7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7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7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7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7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7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7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7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7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7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7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7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7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7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7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8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8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8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8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8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8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8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8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8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8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8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8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8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8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8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8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8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8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8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8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8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8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8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8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8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8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8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8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8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8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8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8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35" si="19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9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9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9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9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9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9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9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9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9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9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9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9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9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9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9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9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9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9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9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9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9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si="19"/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9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 t="shared" si="19"/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 t="shared" si="19"/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 t="shared" si="19"/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 t="shared" si="19"/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 t="shared" si="19"/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76" si="20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20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20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20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20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20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20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20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20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20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20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20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20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20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20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20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20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si="20"/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si="20"/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0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0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0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0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0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0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0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0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0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0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si="20"/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0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0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ref="I777:I808" si="21"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1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1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1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1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1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1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1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1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1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1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 t="shared" si="21"/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si="21"/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 t="shared" si="21"/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 t="shared" si="21"/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si="21"/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1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 t="shared" si="21"/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 t="shared" si="21"/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si="21"/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 t="shared" si="21"/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si="21"/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 t="shared" si="21"/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 t="shared" si="21"/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 t="shared" si="21"/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 t="shared" si="21"/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si="21"/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1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si="21"/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1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1"/>
        <v>6350.5402160864351</v>
      </c>
      <c r="J807" s="3">
        <v>45952</v>
      </c>
      <c r="L807" t="s">
        <v>1065</v>
      </c>
    </row>
    <row r="808" spans="1:12" x14ac:dyDescent="0.35">
      <c r="A808">
        <v>104539700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1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ref="I809:I818" si="22"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2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si="22"/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2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2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2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 t="shared" si="22"/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 t="shared" si="22"/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 t="shared" si="22"/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 t="shared" si="22"/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57020</v>
      </c>
      <c r="H850">
        <v>18.899999999999999</v>
      </c>
      <c r="I850">
        <f>G850/H850</f>
        <v>3016.931216931217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23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23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23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23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23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23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23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23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23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23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24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24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24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24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24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24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24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24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24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24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24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24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24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24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24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24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24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24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24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24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24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24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24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24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24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24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24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24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24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24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24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24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24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24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24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24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24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24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24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24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24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25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25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25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25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25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25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25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25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26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26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26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26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26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26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26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26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26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26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26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26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26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26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27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27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27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27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27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27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27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27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27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 t="shared" ref="I939:I970" si="28"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si="28"/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28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28"/>
        <v>8619.3832599118941</v>
      </c>
      <c r="J942" s="3">
        <v>45960</v>
      </c>
      <c r="L942" t="s">
        <v>1066</v>
      </c>
    </row>
    <row r="943" spans="1:12" x14ac:dyDescent="0.35">
      <c r="A943">
        <v>104527430</v>
      </c>
      <c r="B943" t="s">
        <v>77</v>
      </c>
      <c r="C943" s="1"/>
      <c r="E943" t="s">
        <v>584</v>
      </c>
      <c r="F943" s="1" t="s">
        <v>1262</v>
      </c>
      <c r="G943">
        <v>3447</v>
      </c>
      <c r="H943">
        <v>2</v>
      </c>
      <c r="I943" s="5">
        <f t="shared" si="28"/>
        <v>1723.5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28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2</v>
      </c>
      <c r="I945" s="5">
        <f t="shared" si="28"/>
        <v>1535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28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28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28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28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si="28"/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28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28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28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28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28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28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28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28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28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28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28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28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28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28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28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28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28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28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28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28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ref="I971:I1002" si="29"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29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29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29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29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29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29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29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29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29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29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29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29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29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29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29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29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29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29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29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29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29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29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29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29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29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29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29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29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29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29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29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ref="I1003:I1012" si="30"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0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0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0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0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0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0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0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0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0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1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1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1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1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1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1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2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2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2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2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2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2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60" si="33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33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33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33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33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33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33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33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33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33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33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33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33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33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33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33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33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33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33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33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33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33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33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33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33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33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33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33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33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33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33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33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ref="I1061:I1092" si="34"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34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34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34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34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34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34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34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34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34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34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34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34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34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34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34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34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34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34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34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34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34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34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34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34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34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34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34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34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34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34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34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24" si="35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35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35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35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35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35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35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35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35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35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35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35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35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35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35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35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35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35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35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35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35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35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35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35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35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35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35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35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35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35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35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35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ref="I1125:I1156" si="36"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36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36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36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36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36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36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36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36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36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36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36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36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36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36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36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36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36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36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36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36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36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36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36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36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36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36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36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36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36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36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36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0" si="37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37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37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37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37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37"/>
        <v>4321</v>
      </c>
      <c r="J1162" s="3">
        <v>45964</v>
      </c>
      <c r="L1162" t="s">
        <v>1066</v>
      </c>
    </row>
    <row r="1163" spans="1:12" ht="72.5" x14ac:dyDescent="0.35">
      <c r="A1163">
        <v>104300530</v>
      </c>
      <c r="B1163" t="s">
        <v>472</v>
      </c>
      <c r="E1163" t="s">
        <v>584</v>
      </c>
      <c r="F1163" s="1" t="s">
        <v>1243</v>
      </c>
      <c r="G1163">
        <v>906</v>
      </c>
      <c r="H1163">
        <v>0.5</v>
      </c>
      <c r="I1163" s="5">
        <f t="shared" si="37"/>
        <v>1812</v>
      </c>
      <c r="J1163" s="3">
        <v>45964</v>
      </c>
      <c r="L1163" t="s">
        <v>1066</v>
      </c>
    </row>
    <row r="1164" spans="1:12" ht="72.5" x14ac:dyDescent="0.35">
      <c r="A1164">
        <v>104545030</v>
      </c>
      <c r="B1164" t="s">
        <v>473</v>
      </c>
      <c r="E1164" t="s">
        <v>584</v>
      </c>
      <c r="F1164" s="1" t="s">
        <v>1243</v>
      </c>
      <c r="G1164">
        <v>906</v>
      </c>
      <c r="H1164">
        <v>0.5</v>
      </c>
      <c r="I1164" s="5">
        <f t="shared" si="37"/>
        <v>1812</v>
      </c>
      <c r="J1164" s="3">
        <v>45964</v>
      </c>
      <c r="L1164" t="s">
        <v>1066</v>
      </c>
    </row>
    <row r="1165" spans="1:12" ht="72.5" x14ac:dyDescent="0.35">
      <c r="A1165">
        <v>104534090</v>
      </c>
      <c r="B1165" t="s">
        <v>474</v>
      </c>
      <c r="E1165" t="s">
        <v>584</v>
      </c>
      <c r="F1165" s="1" t="s">
        <v>1244</v>
      </c>
      <c r="G1165">
        <v>9547</v>
      </c>
      <c r="H1165">
        <v>5</v>
      </c>
      <c r="I1165" s="5">
        <f t="shared" si="37"/>
        <v>1909.4</v>
      </c>
      <c r="J1165" s="3">
        <v>45964</v>
      </c>
      <c r="L1165" t="s">
        <v>1066</v>
      </c>
    </row>
    <row r="1166" spans="1:12" ht="72.5" x14ac:dyDescent="0.35">
      <c r="A1166">
        <v>150001692</v>
      </c>
      <c r="B1166" t="s">
        <v>476</v>
      </c>
      <c r="E1166" t="s">
        <v>584</v>
      </c>
      <c r="F1166" s="1" t="s">
        <v>1245</v>
      </c>
      <c r="G1166">
        <v>3981</v>
      </c>
      <c r="H1166">
        <v>5</v>
      </c>
      <c r="I1166" s="5">
        <f t="shared" si="37"/>
        <v>796.2</v>
      </c>
      <c r="J1166" s="3">
        <v>45964</v>
      </c>
      <c r="L1166" t="s">
        <v>1066</v>
      </c>
    </row>
    <row r="1167" spans="1:12" ht="72.5" x14ac:dyDescent="0.35">
      <c r="A1167">
        <v>104526090</v>
      </c>
      <c r="B1167" t="s">
        <v>478</v>
      </c>
      <c r="E1167" t="s">
        <v>584</v>
      </c>
      <c r="F1167" s="1" t="s">
        <v>979</v>
      </c>
      <c r="G1167">
        <v>243</v>
      </c>
      <c r="H1167">
        <v>1</v>
      </c>
      <c r="I1167" s="5">
        <f t="shared" si="37"/>
        <v>243</v>
      </c>
      <c r="J1167" s="3">
        <v>45964</v>
      </c>
      <c r="L1167" t="s">
        <v>1066</v>
      </c>
    </row>
    <row r="1168" spans="1:12" ht="72.5" x14ac:dyDescent="0.35">
      <c r="A1168">
        <v>104525040</v>
      </c>
      <c r="B1168" t="s">
        <v>479</v>
      </c>
      <c r="E1168" t="s">
        <v>584</v>
      </c>
      <c r="F1168" s="1" t="s">
        <v>1246</v>
      </c>
      <c r="G1168">
        <v>6179</v>
      </c>
      <c r="H1168">
        <v>1</v>
      </c>
      <c r="I1168" s="5">
        <f t="shared" si="37"/>
        <v>6179</v>
      </c>
      <c r="J1168" s="3">
        <v>45964</v>
      </c>
      <c r="L1168" t="s">
        <v>1066</v>
      </c>
    </row>
    <row r="1169" spans="1:12" ht="72.5" x14ac:dyDescent="0.35">
      <c r="A1169">
        <v>150000983</v>
      </c>
      <c r="B1169" t="s">
        <v>483</v>
      </c>
      <c r="E1169" t="s">
        <v>584</v>
      </c>
      <c r="F1169" s="1" t="s">
        <v>1247</v>
      </c>
      <c r="G1169">
        <v>8077</v>
      </c>
      <c r="H1169">
        <v>0.96499999999999997</v>
      </c>
      <c r="I1169" s="5">
        <f t="shared" si="37"/>
        <v>8369.9481865284979</v>
      </c>
      <c r="J1169" s="3">
        <v>45964</v>
      </c>
      <c r="L1169" t="s">
        <v>1066</v>
      </c>
    </row>
    <row r="1170" spans="1:12" ht="72.5" x14ac:dyDescent="0.35">
      <c r="A1170">
        <v>104521820</v>
      </c>
      <c r="B1170" t="s">
        <v>492</v>
      </c>
      <c r="E1170" t="s">
        <v>584</v>
      </c>
      <c r="F1170" s="1" t="s">
        <v>1248</v>
      </c>
      <c r="G1170">
        <v>2054</v>
      </c>
      <c r="H1170">
        <v>0.5</v>
      </c>
      <c r="I1170" s="5">
        <f t="shared" si="37"/>
        <v>4108</v>
      </c>
      <c r="J1170" s="3">
        <v>45964</v>
      </c>
      <c r="L1170" t="s">
        <v>1066</v>
      </c>
    </row>
    <row r="1171" spans="1:12" ht="72.5" x14ac:dyDescent="0.35">
      <c r="A1171">
        <v>104521730</v>
      </c>
      <c r="B1171" t="s">
        <v>493</v>
      </c>
      <c r="E1171" t="s">
        <v>584</v>
      </c>
      <c r="F1171" s="1" t="s">
        <v>1249</v>
      </c>
      <c r="G1171">
        <v>2748</v>
      </c>
      <c r="H1171">
        <v>0.5</v>
      </c>
      <c r="I1171" s="5">
        <f t="shared" si="37"/>
        <v>5496</v>
      </c>
      <c r="J1171" s="3">
        <v>45964</v>
      </c>
      <c r="L1171" t="s">
        <v>1066</v>
      </c>
    </row>
    <row r="1172" spans="1:12" ht="72.5" x14ac:dyDescent="0.35">
      <c r="A1172">
        <v>104534450</v>
      </c>
      <c r="B1172" t="s">
        <v>494</v>
      </c>
      <c r="E1172" t="s">
        <v>584</v>
      </c>
      <c r="F1172" s="1" t="s">
        <v>1250</v>
      </c>
      <c r="G1172">
        <v>4120</v>
      </c>
      <c r="H1172">
        <v>0.84</v>
      </c>
      <c r="I1172" s="5">
        <f t="shared" si="37"/>
        <v>4904.7619047619046</v>
      </c>
      <c r="J1172" s="3">
        <v>45964</v>
      </c>
      <c r="L1172" t="s">
        <v>1066</v>
      </c>
    </row>
    <row r="1173" spans="1:12" ht="72.5" x14ac:dyDescent="0.35">
      <c r="A1173">
        <v>104534440</v>
      </c>
      <c r="B1173" t="s">
        <v>496</v>
      </c>
      <c r="E1173" t="s">
        <v>584</v>
      </c>
      <c r="F1173" s="1" t="s">
        <v>1251</v>
      </c>
      <c r="G1173">
        <v>5248</v>
      </c>
      <c r="H1173">
        <v>0.84</v>
      </c>
      <c r="I1173" s="5">
        <f t="shared" si="37"/>
        <v>6247.6190476190477</v>
      </c>
      <c r="J1173" s="3">
        <v>45964</v>
      </c>
      <c r="L1173" t="s">
        <v>1066</v>
      </c>
    </row>
    <row r="1174" spans="1:12" ht="72.5" x14ac:dyDescent="0.35">
      <c r="A1174">
        <v>104539200</v>
      </c>
      <c r="B1174" t="s">
        <v>499</v>
      </c>
      <c r="E1174" t="s">
        <v>584</v>
      </c>
      <c r="F1174" s="1" t="s">
        <v>1138</v>
      </c>
      <c r="G1174">
        <v>1625</v>
      </c>
      <c r="H1174">
        <v>0.36</v>
      </c>
      <c r="I1174" s="5">
        <f t="shared" si="37"/>
        <v>4513.8888888888887</v>
      </c>
      <c r="J1174" s="3">
        <v>45964</v>
      </c>
      <c r="L1174" t="s">
        <v>1066</v>
      </c>
    </row>
    <row r="1175" spans="1:12" ht="72.5" x14ac:dyDescent="0.35">
      <c r="A1175">
        <v>104539430</v>
      </c>
      <c r="B1175" t="s">
        <v>504</v>
      </c>
      <c r="E1175" t="s">
        <v>584</v>
      </c>
      <c r="F1175" s="1" t="s">
        <v>791</v>
      </c>
      <c r="G1175">
        <v>25633</v>
      </c>
      <c r="H1175">
        <f>_xlfn.XLOOKUP(A1175,'[1]BD LP'!$B:$B,'[1]BD LP'!$AC:$AC)</f>
        <v>5</v>
      </c>
      <c r="I1175" s="5">
        <f t="shared" si="37"/>
        <v>5126.6000000000004</v>
      </c>
      <c r="J1175" s="3">
        <v>45964</v>
      </c>
      <c r="L1175" t="s">
        <v>1066</v>
      </c>
    </row>
    <row r="1176" spans="1:12" ht="72.5" x14ac:dyDescent="0.35">
      <c r="A1176">
        <v>104521960</v>
      </c>
      <c r="B1176" t="s">
        <v>506</v>
      </c>
      <c r="E1176" t="s">
        <v>584</v>
      </c>
      <c r="F1176" s="1" t="s">
        <v>1252</v>
      </c>
      <c r="G1176">
        <v>11019</v>
      </c>
      <c r="H1176">
        <f>300 * 0.008</f>
        <v>2.4</v>
      </c>
      <c r="I1176" s="5">
        <f t="shared" si="37"/>
        <v>4591.25</v>
      </c>
      <c r="J1176" s="3">
        <v>45964</v>
      </c>
      <c r="L1176" t="s">
        <v>1066</v>
      </c>
    </row>
    <row r="1177" spans="1:12" ht="72.5" x14ac:dyDescent="0.35">
      <c r="A1177">
        <v>150000367</v>
      </c>
      <c r="B1177" t="s">
        <v>512</v>
      </c>
      <c r="E1177" t="s">
        <v>584</v>
      </c>
      <c r="F1177" s="1" t="s">
        <v>1253</v>
      </c>
      <c r="G1177">
        <v>3220</v>
      </c>
      <c r="H1177">
        <v>0.85</v>
      </c>
      <c r="I1177" s="5">
        <f t="shared" si="37"/>
        <v>3788.2352941176473</v>
      </c>
      <c r="J1177" s="3">
        <v>45964</v>
      </c>
      <c r="L1177" t="s">
        <v>1066</v>
      </c>
    </row>
    <row r="1178" spans="1:12" ht="72.5" x14ac:dyDescent="0.35">
      <c r="A1178">
        <v>150000369</v>
      </c>
      <c r="B1178" t="s">
        <v>520</v>
      </c>
      <c r="E1178" t="s">
        <v>584</v>
      </c>
      <c r="F1178" s="1" t="s">
        <v>795</v>
      </c>
      <c r="G1178">
        <v>2129</v>
      </c>
      <c r="H1178">
        <v>1</v>
      </c>
      <c r="I1178" s="5">
        <f t="shared" si="37"/>
        <v>2129</v>
      </c>
      <c r="J1178" s="3">
        <v>45964</v>
      </c>
      <c r="L1178" t="s">
        <v>1066</v>
      </c>
    </row>
    <row r="1179" spans="1:12" ht="72.5" x14ac:dyDescent="0.35">
      <c r="A1179">
        <v>150001186</v>
      </c>
      <c r="B1179" t="s">
        <v>521</v>
      </c>
      <c r="E1179" t="s">
        <v>584</v>
      </c>
      <c r="F1179" s="1" t="s">
        <v>1254</v>
      </c>
      <c r="G1179">
        <v>2179</v>
      </c>
      <c r="H1179">
        <v>1</v>
      </c>
      <c r="I1179" s="5">
        <f t="shared" si="37"/>
        <v>2179</v>
      </c>
      <c r="J1179" s="3">
        <v>45964</v>
      </c>
      <c r="L1179" t="s">
        <v>1066</v>
      </c>
    </row>
    <row r="1180" spans="1:12" ht="72.5" x14ac:dyDescent="0.35">
      <c r="A1180">
        <v>150000368</v>
      </c>
      <c r="B1180" t="s">
        <v>523</v>
      </c>
      <c r="E1180" t="s">
        <v>584</v>
      </c>
      <c r="F1180" s="1" t="s">
        <v>798</v>
      </c>
      <c r="G1180">
        <v>3003</v>
      </c>
      <c r="H1180">
        <v>1</v>
      </c>
      <c r="I1180" s="5">
        <f t="shared" si="37"/>
        <v>3003</v>
      </c>
      <c r="J1180" s="3">
        <v>45964</v>
      </c>
      <c r="L1180" t="s">
        <v>1066</v>
      </c>
    </row>
    <row r="1181" spans="1:12" ht="409.5" x14ac:dyDescent="0.35">
      <c r="A1181">
        <v>104524840</v>
      </c>
      <c r="B1181" t="s">
        <v>290</v>
      </c>
      <c r="E1181" t="s">
        <v>535</v>
      </c>
      <c r="F1181" s="1" t="s">
        <v>1255</v>
      </c>
      <c r="G1181">
        <v>1490</v>
      </c>
      <c r="H1181">
        <v>0.185</v>
      </c>
      <c r="I1181" s="5">
        <f>G1181/H1181/1.19</f>
        <v>6768.1126504655922</v>
      </c>
      <c r="J1181" s="3">
        <v>45967</v>
      </c>
      <c r="L1181" t="s">
        <v>1064</v>
      </c>
    </row>
    <row r="1182" spans="1:12" ht="101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1000</v>
      </c>
      <c r="H1182">
        <v>0.185</v>
      </c>
      <c r="I1182" s="5">
        <f>G1182/H1182/1.19</f>
        <v>4542.357483533955</v>
      </c>
      <c r="J1182" s="3">
        <v>45967</v>
      </c>
      <c r="L1182" t="s">
        <v>1257</v>
      </c>
    </row>
    <row r="1183" spans="1:12" ht="72.5" x14ac:dyDescent="0.35">
      <c r="A1183">
        <v>104524840</v>
      </c>
      <c r="B1183" t="s">
        <v>290</v>
      </c>
      <c r="E1183" t="s">
        <v>584</v>
      </c>
      <c r="F1183" s="1" t="s">
        <v>1258</v>
      </c>
      <c r="G1183">
        <v>26990</v>
      </c>
      <c r="H1183">
        <f>24 * 0.185</f>
        <v>4.4399999999999995</v>
      </c>
      <c r="I1183" s="5">
        <f>G1183/H1183</f>
        <v>6078.8288288288295</v>
      </c>
      <c r="J1183" s="3">
        <v>45967</v>
      </c>
      <c r="L1183" t="s">
        <v>1066</v>
      </c>
    </row>
    <row r="1184" spans="1:12" ht="391.5" x14ac:dyDescent="0.35">
      <c r="A1184">
        <v>104523750</v>
      </c>
      <c r="B1184" t="s">
        <v>291</v>
      </c>
      <c r="E1184" t="s">
        <v>535</v>
      </c>
      <c r="F1184" s="1" t="s">
        <v>1259</v>
      </c>
      <c r="G1184">
        <v>790</v>
      </c>
      <c r="H1184">
        <v>0.09</v>
      </c>
      <c r="I1184" s="5">
        <f>G1184/H1184/1.19</f>
        <v>7376.283846872082</v>
      </c>
      <c r="J1184" s="3">
        <v>45967</v>
      </c>
      <c r="L1184" t="s">
        <v>1064</v>
      </c>
    </row>
    <row r="1185" spans="1:12" ht="72.5" x14ac:dyDescent="0.35">
      <c r="A1185">
        <v>104523750</v>
      </c>
      <c r="B1185" t="s">
        <v>291</v>
      </c>
      <c r="E1185" t="s">
        <v>584</v>
      </c>
      <c r="F1185" s="1" t="s">
        <v>1260</v>
      </c>
      <c r="G1185">
        <v>23443</v>
      </c>
      <c r="H1185">
        <f>50 * 0.1</f>
        <v>5</v>
      </c>
      <c r="I1185" s="5">
        <f>G1185/H1185</f>
        <v>4688.6000000000004</v>
      </c>
      <c r="J1185" s="3">
        <v>45967</v>
      </c>
      <c r="L1185" t="s">
        <v>1066</v>
      </c>
    </row>
    <row r="1186" spans="1:12" ht="72.5" x14ac:dyDescent="0.35">
      <c r="A1186">
        <v>104351590</v>
      </c>
      <c r="B1186" t="s">
        <v>126</v>
      </c>
      <c r="E1186" t="s">
        <v>584</v>
      </c>
      <c r="F1186" s="1" t="s">
        <v>1261</v>
      </c>
      <c r="G1186">
        <v>49245</v>
      </c>
      <c r="H1186">
        <f>76 * 0.07</f>
        <v>5.32</v>
      </c>
      <c r="I1186" s="5">
        <f t="shared" ref="I1186" si="38">G1186/H1186</f>
        <v>9256.5789473684199</v>
      </c>
      <c r="J1186" s="3">
        <v>45971</v>
      </c>
      <c r="L1186" t="s">
        <v>1066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2025-11-17T18:19:14Z</dcterms:modified>
</cp:coreProperties>
</file>