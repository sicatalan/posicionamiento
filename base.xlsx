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161" documentId="11_AD4D2F04E46CFB4ACB3E200E4DD7FD88683EDF28" xr6:coauthVersionLast="47" xr6:coauthVersionMax="47" xr10:uidLastSave="{1B944136-B004-4023-A14E-73C09D9DFB9A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6" i="5" l="1"/>
  <c r="I1186" i="5"/>
  <c r="I1185" i="5"/>
  <c r="H1184" i="5"/>
  <c r="I1184" i="5"/>
  <c r="I1183" i="5"/>
  <c r="I1182" i="5"/>
  <c r="H750" i="5"/>
  <c r="I1181" i="5"/>
  <c r="I1180" i="5"/>
  <c r="I1179" i="5"/>
  <c r="I1178" i="5"/>
  <c r="H1177" i="5"/>
  <c r="I1177" i="5"/>
  <c r="H1176" i="5"/>
  <c r="I1176" i="5" s="1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 l="1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/>
  <c r="H1097" i="5"/>
  <c r="I1097" i="5" s="1"/>
  <c r="H1096" i="5"/>
  <c r="I1096" i="5"/>
  <c r="H1095" i="5"/>
  <c r="I1095" i="5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/>
  <c r="H1010" i="5"/>
  <c r="I1010" i="5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<sst xmlns="http://schemas.openxmlformats.org/spreadsheetml/2006/main" count="5072" uniqueCount="1262">
  <si>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</si>
  <si>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</si>
  <si>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</si>
  <si>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</si>
  <si>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</si>
  <si>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</si>
  <si>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</si>
  <si>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</si>
  <si>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</si>
  <si>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</si>
  <si>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</si>
  <si>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</si>
  <si>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</si>
  <si>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</si>
  <si>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</si>
  <si>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</si>
  <si>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</si>
  <si>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</si>
  <si>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</si>
  <si>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</si>
  <si>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</si>
  <si>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</si>
  <si>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</si>
  <si>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</si>
  <si>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</si>
  <si>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</si>
  <si>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</si>
  <si>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</si>
  <si>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</si>
  <si>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</si>
  <si>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</si>
  <si>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</si>
  <si>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</si>
  <si>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</si>
  <si>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</si>
  <si>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</si>
  <si>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</si>
  <si>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</si>
  <si>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</si>
  <si>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</si>
  <si>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</si>
  <si>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</si>
  <si>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</si>
  <si>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</si>
  <si>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</si>
  <si>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</si>
  <si>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</si>
  <si>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</si>
  <si>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</si>
  <si>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</si>
  <si>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</si>
  <si>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</si>
  <si>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</si>
  <si>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</si>
  <si>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</si>
  <si>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</si>
  <si>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</si>
  <si>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</si>
  <si>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</si>
  <si>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</si>
  <si>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</si>
  <si>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</si>
  <si>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</si>
  <si>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</si>
  <si>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</si>
  <si>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</si>
  <si>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</si>
  <si>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</si>
  <si>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</si>
  <si>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</si>
  <si>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</si>
  <si>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</si>
  <si>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</si>
  <si>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</si>
  <si>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</si>
  <si>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</si>
  <si>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</si>
  <si>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</si>
  <si>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</si>
  <si>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</si>
  <si>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</si>
  <si>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</si>
  <si>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</si>
  <si>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</si>
  <si>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</si>
  <si>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</si>
  <si>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</si>
  <si>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</si>
  <si>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</si>
  <si>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</si>
  <si>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</si>
  <si>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</si>
  <si>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</si>
  <si>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</si>
  <si>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</si>
  <si>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</si>
  <si>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</si>
  <si>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</si>
  <si>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</si>
  <si>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</si>
  <si>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</si>
  <si>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</si>
  <si>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</si>
  <si>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</si>
  <si>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</si>
  <si>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</si>
  <si>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</si>
  <si>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</si>
  <si>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</si>
  <si>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</si>
  <si>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</si>
  <si>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</si>
  <si>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</si>
  <si>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</si>
  <si>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</si>
  <si>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</si>
  <si>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</si>
  <si>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</si>
  <si>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</si>
  <si>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</si>
  <si>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</si>
  <si>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</si>
  <si>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</si>
  <si>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</si>
  <si>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</si>
  <si>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</si>
  <si>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</si>
  <si>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</si>
  <si>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</si>
  <si>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</si>
  <si>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</si>
  <si>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</si>
  <si>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</si>
  <si>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</si>
  <si>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</si>
  <si>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</si>
  <si>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</si>
  <si>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</si>
  <si>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</si>
  <si>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</si>
  <si>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</si>
  <si>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</si>
  <si>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</si>
  <si>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</si>
  <si>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</si>
  <si>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</si>
  <si>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</si>
  <si>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</si>
  <si>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</si>
  <si>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</si>
  <si>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</si>
  <si>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</si>
  <si>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</si>
  <si>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</si>
  <si>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</si>
  <si>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</si>
  <si>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</si>
  <si>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</si>
  <si>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</si>
  <si>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</si>
  <si>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</si>
  <si>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</si>
  <si>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</si>
  <si>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</si>
  <si>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</si>
  <si>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</si>
  <si>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</si>
  <si>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</si>
  <si>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</si>
  <si>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</si>
  <si>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</si>
  <si>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</si>
  <si>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</si>
  <si>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</si>
  <si>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</si>
  <si>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</si>
  <si>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</si>
  <si>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</si>
  <si>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</si>
  <si>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</si>
  <si>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</si>
  <si>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</si>
  <si>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</si>
  <si>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</si>
  <si>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</si>
  <si>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</si>
  <si>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</si>
  <si>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</si>
  <si>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</si>
  <si>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</si>
  <si>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</si>
  <si>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</si>
  <si>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</si>
  <si>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</si>
  <si>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</si>
  <si>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</si>
  <si>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</si>
  <si>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</si>
  <si>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</si>
  <si>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</si>
  <si>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</si>
  <si>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</si>
  <si>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</si>
  <si>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</si>
  <si>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</si>
  <si>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</si>
  <si>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</si>
  <si>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</si>
  <si>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</si>
  <si>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</si>
  <si>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</si>
  <si>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</si>
  <si>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</si>
  <si>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</si>
  <si>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</si>
  <si>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</si>
  <si>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</si>
  <si>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</si>
  <si>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</si>
  <si>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</si>
  <si>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</si>
  <si>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</si>
  <si>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</si>
  <si>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</si>
  <si>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</si>
  <si>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</si>
  <si>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</si>
  <si>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</si>
  <si>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</si>
  <si>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</si>
  <si>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</si>
  <si>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</si>
  <si>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</si>
  <si>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</si>
  <si>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</si>
  <si>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</si>
  <si>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</si>
  <si>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</si>
  <si>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</si>
  <si>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</si>
  <si>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</si>
  <si>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</si>
  <si>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</si>
  <si>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</si>
  <si>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</si>
  <si>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</si>
  <si>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</si>
  <si>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</si>
  <si>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</si>
  <si>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</si>
  <si>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</si>
  <si>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</si>
  <si>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</si>
  <si>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</si>
  <si>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</si>
  <si>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</si>
  <si>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</si>
  <si>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</si>
  <si>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</si>
  <si>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</si>
  <si>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</si>
  <si>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</si>
  <si>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</si>
  <si>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</si>
  <si>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</si>
  <si>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</si>
  <si>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</si>
  <si>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</si>
  <si>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</si>
  <si>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</si>
  <si>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</si>
  <si>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</si>
  <si>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</si>
  <si>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</si>
  <si>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</si>
  <si>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</si>
  <si>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</si>
  <si>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</si>
  <si>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</si>
  <si>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</si>
  <si>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</si>
  <si>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</si>
  <si>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</si>
  <si>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</si>
  <si>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</si>
  <si>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</si>
  <si>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</si>
  <si>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</si>
  <si>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</si>
  <si>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</si>
  <si>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</si>
  <si>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</si>
  <si>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</si>
  <si>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</si>
  <si>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</si>
  <si>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</si>
  <si>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</si>
  <si>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</si>
  <si>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</si>
  <si>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</si>
  <si>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</si>
  <si>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</si>
  <si>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</si>
  <si>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</si>
  <si>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</si>
  <si>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</si>
  <si>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</si>
  <si>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</si>
  <si>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</si>
  <si>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</si>
  <si>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</si>
  <si>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</si>
  <si>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</si>
  <si>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</si>
  <si>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</si>
  <si>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</si>
  <si>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</si>
  <si>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</si>
  <si>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</si>
  <si>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</si>
  <si>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</si>
  <si>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</si>
  <si>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</si>
  <si>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</si>
  <si>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</si>
  <si>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</si>
  <si>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</si>
  <si>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</si>
  <si>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</si>
  <si>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</si>
  <si>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</si>
  <si>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</si>
  <si>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</si>
  <si>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</si>
  <si>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</si>
  <si>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</si>
  <si>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</si>
  <si>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</si>
  <si>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</si>
  <si>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</si>
  <si>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</si>
  <si>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</si>
  <si>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</si>
  <si>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</si>
  <si>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</si>
  <si>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</si>
  <si>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</si>
  <si>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</si>
  <si>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</si>
  <si>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</si>
  <si>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</si>
  <si>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</si>
  <si>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</si>
  <si>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</si>
  <si>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</si>
  <si>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</si>
  <si>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</si>
  <si>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</si>
  <si>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</si>
  <si>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</si>
  <si>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</si>
  <si>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</si>
  <si>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</si>
  <si>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</si>
  <si>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</si>
  <si>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</si>
  <si>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</si>
  <si>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</si>
  <si>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</si>
  <si>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</si>
  <si>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</si>
  <si>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</si>
  <si>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</si>
  <si>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</si>
  <si>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</si>
  <si>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</si>
  <si>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</si>
  <si>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</si>
  <si>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</si>
  <si>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</si>
  <si>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</si>
  <si>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</si>
  <si>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</si>
  <si>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</si>
  <si>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</si>
  <si>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</si>
  <si>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</si>
  <si>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</si>
  <si>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</si>
  <si>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</si>
  <si>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</si>
  <si>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</si>
  <si>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</si>
  <si>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</si>
  <si>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</si>
  <si>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</si>
  <si>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</si>
  <si>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</si>
  <si>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</si>
  <si>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</si>
  <si>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</si>
  <si>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</si>
  <si>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</si>
  <si>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</si>
  <si>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</si>
  <si>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</si>
  <si>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</si>
  <si>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</si>
  <si>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</si>
  <si>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</si>
  <si>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</si>
  <si>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</si>
  <si>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</si>
  <si>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</si>
  <si>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</si>
  <si>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</si>
  <si>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</si>
  <si>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</si>
  <si>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</si>
  <si>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</si>
  <si>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</si>
  <si>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</si>
  <si>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</si>
  <si>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</si>
  <si>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</si>
  <si>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</si>
  <si>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</si>
  <si>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</si>
  <si>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</si>
  <si>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</si>
  <si>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</si>
  <si>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</si>
  <si>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</si>
  <si>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</si>
  <si>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</si>
  <si>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</si>
  <si>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</si>
  <si>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</si>
  <si>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</si>
  <si>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</si>
  <si>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</si>
  <si>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</si>
  <si>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</si>
  <si>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</si>
  <si>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</si>
  <si>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</si>
  <si>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</si>
  <si>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</si>
  <si>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</si>
  <si>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</si>
  <si>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</si>
  <si>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</si>
  <si>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</si>
  <si>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</si>
  <si>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</si>
  <si>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</si>
  <si>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</si>
  <si>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</si>
  <si>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</si>
  <si>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</si>
  <si>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</si>
  <si>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</si>
  <si>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</si>
  <si>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</si>
  <si>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</si>
  <si>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</si>
  <si>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</si>
  <si>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</si>
  <si>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</si>
  <si>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</si>
  <si>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</si>
  <si>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</si>
  <si>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</si>
  <si>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</si>
  <si>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</si>
  <si>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</si>
  <si>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</si>
  <si>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</si>
  <si>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</si>
  <si>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</si>
  <si>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</si>
  <si>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</si>
  <si>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</si>
  <si>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</si>
  <si>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</si>
  <si>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</si>
  <si>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</si>
  <si>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</si>
  <si>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</si>
  <si>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</si>
  <si>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</si>
  <si>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</si>
  <si>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</si>
  <si>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</si>
  <si>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</si>
  <si>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</si>
  <si>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</si>
  <si>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</si>
  <si>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</si>
  <si>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</si>
  <si>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</si>
  <si>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</si>
  <si>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</si>
  <si>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</si>
  <si>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</si>
  <si>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</si>
  <si>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</si>
  <si>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</si>
  <si>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</si>
  <si>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</si>
  <si>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</si>
  <si>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</si>
  <si>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</si>
  <si>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</si>
  <si>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</si>
  <si>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</si>
  <si>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</si>
  <si>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</si>
  <si>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</si>
  <si>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</si>
  <si>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</si>
  <si>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</si>
  <si>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</si>
  <si>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</si>
  <si>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</si>
  <si>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</si>
  <si>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</si>
  <si>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</si>
  <si>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</si>
  <si>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</si>
  <si>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</si>
  <si>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</si>
  <si>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</si>
  <si>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</si>
  <si>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</si>
  <si>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</si>
  <si>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</si>
  <si>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</si>
  <si>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</si>
  <si>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</si>
  <si>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</si>
  <si>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</si>
  <si>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</si>
  <si>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</si>
  <si>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</si>
  <si>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</si>
  <si>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</si>
  <si>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</si>
  <si>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</si>
  <si>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</si>
  <si>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</si>
  <si>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</si>
  <si>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</si>
  <si>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</si>
  <si>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</si>
  <si>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</si>
  <si>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</si>
  <si>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</si>
  <si>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</si>
  <si>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</si>
  <si>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</si>
  <si>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</si>
  <si>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</si>
  <si>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</si>
  <si>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</si>
  <si>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</si>
  <si>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</si>
  <si>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</si>
  <si>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</si>
  <si>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</si>
  <si>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</si>
  <si>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</si>
  <si>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</si>
  <si>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</si>
  <si>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</si>
  <si>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</si>
  <si>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</si>
  <si>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</si>
  <si>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</si>
  <si>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</si>
  <si>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</si>
  <si>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</si>
  <si>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</si>
  <si>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</si>
  <si>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</si>
  <si>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</si>
  <si>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</si>
  <si>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</si>
  <si>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</si>
  <si>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</si>
  <si>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</si>
  <si>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</si>
  <si>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</si>
  <si>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</si>
  <si>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</si>
  <si>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</si>
  <si>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</si>
  <si>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</si>
  <si>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</si>
  <si>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</si>
  <si>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</si>
  <si>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</si>
  <si>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</si>
  <si>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</si>
  <si>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</si>
  <si>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</si>
  <si>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</si>
  <si>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</si>
  <si>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</si>
  <si>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</si>
  <si>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</si>
  <si>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</si>
  <si>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</si>
  <si>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</si>
  <si>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</si>
  <si>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</si>
  <si>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</si>
  <si>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</si>
  <si>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</si>
  <si>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</si>
  <si>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</si>
  <si>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</si>
  <si>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</si>
  <si>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</si>
  <si>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</si>
  <si>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</si>
  <si>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</si>
  <si>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</si>
  <si>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</si>
  <si>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</si>
  <si>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</si>
  <si>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</si>
  <si>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</si>
  <si>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</si>
  <si>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</si>
  <si>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</si>
  <si>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</si>
  <si>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</si>
  <si>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</si>
  <si>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</si>
  <si>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</si>
  <si>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</si>
  <si>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</si>
  <si>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</si>
  <si>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</si>
  <si>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</si>
  <si>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</si>
  <si>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</si>
  <si>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</si>
  <si>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</si>
  <si>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</si>
  <si>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</si>
  <si>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</si>
  <si>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</si>
  <si>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</si>
  <si>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</si>
  <si>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</si>
  <si>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</si>
  <si>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</si>
  <si>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</si>
  <si>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</si>
  <si>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</si>
  <si>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</si>
  <si>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</si>
  <si>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</si>
  <si>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</si>
  <si>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</si>
  <si>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</si>
  <si>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</si>
  <si>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</si>
  <si>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</si>
  <si>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</si>
  <si>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</si>
  <si>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</si>
  <si>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</si>
  <si>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</si>
  <si>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</si>
  <si>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</si>
  <si>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</si>
  <si>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</si>
  <si>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</si>
  <si>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</si>
  <si>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</si>
  <si>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</si>
  <si>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</si>
  <si>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</si>
  <si>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</si>
  <si>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</si>
  <si>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</si>
  <si>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</si>
  <si>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</si>
  <si>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</si>
  <si>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</si>
  <si>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</si>
  <si>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</si>
  <si>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</si>
  <si>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</si>
  <si>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</si>
  <si>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</si>
  <si>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</si>
  <si>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</si>
  <si>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</si>
  <si>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</si>
  <si>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</si>
  <si>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</si>
  <si>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</si>
  <si>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</si>
  <si>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</si>
  <si>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</si>
  <si>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</si>
  <si>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</si>
  <si>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</si>
  <si>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</si>
  <si>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</si>
  <si>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</si>
  <si>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</si>
  <si>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</si>
  <si>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</si>
  <si>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</si>
  <si>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</si>
  <si>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</si>
  <si>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</si>
  <si>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</si>
  <si>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</si>
  <si>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</si>
  <si>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</si>
  <si>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</si>
  <si>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</si>
  <si>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</si>
  <si>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</si>
  <si>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</si>
  <si>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</si>
  <si>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</si>
  <si>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</si>
  <si>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</si>
  <si>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</si>
  <si>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</si>
  <si>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</si>
  <si>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</si>
  <si>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</si>
  <si>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</si>
  <si>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</si>
  <si>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</si>
  <si>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</si>
  <si>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</si>
  <si>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</si>
  <si>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</si>
  <si>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</si>
  <si>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</si>
  <si>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</si>
  <si>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</si>
  <si>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</si>
  <si>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</si>
  <si>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</si>
  <si>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</si>
  <si>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</si>
  <si>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</si>
  <si>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</si>
  <si>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</si>
  <si>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</si>
  <si>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</si>
  <si>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</si>
  <si>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</si>
  <si>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</si>
  <si>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</si>
  <si>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</si>
  <si>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</si>
  <si>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</si>
  <si>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</si>
  <si>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</si>
  <si>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</si>
  <si>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</si>
  <si>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</si>
  <si>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</si>
  <si>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</si>
  <si>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</si>
  <si>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</si>
  <si>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</si>
  <si>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</si>
  <si>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</si>
  <si>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</si>
  <si>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</si>
  <si>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</si>
  <si>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</si>
  <si>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</si>
  <si>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</si>
  <si>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</si>
  <si>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</si>
  <si>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</si>
  <si>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</si>
  <si>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</si>
  <si>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</si>
  <si>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</si>
  <si>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</si>
  <si>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</si>
  <si>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</si>
  <si>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</si>
  <si>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</si>
  <si>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</si>
  <si>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</si>
  <si>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</si>
  <si>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</si>
  <si>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</si>
  <si>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</si>
  <si>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</si>
  <si>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</si>
  <si>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</si>
  <si>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</si>
  <si>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</si>
  <si>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</si>
  <si>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</si>
  <si>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</si>
  <si>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</si>
  <si>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</si>
  <si>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</si>
  <si>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</si>
  <si>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</si>
  <si>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</si>
  <si>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</si>
  <si>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</si>
  <si>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</si>
  <si>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</si>
  <si>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</si>
  <si>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</si>
  <si>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</si>
  <si>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</si>
  <si>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</si>
  <si>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</si>
  <si>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</si>
  <si>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</si>
  <si>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</si>
  <si>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</si>
  <si>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</si>
  <si>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</si>
  <si>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</si>
  <si>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</si>
  <si>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</si>
  <si>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</si>
  <si>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</si>
  <si>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</si>
  <si>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</si>
  <si>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</si>
  <si>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</si>
  <si>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</si>
  <si>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</si>
  <si>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</si>
  <si>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</si>
  <si>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</si>
  <si>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</si>
  <si>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</si>
  <si>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</si>
  <si>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</si>
  <si>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</si>
  <si>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</si>
  <si>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</si>
  <si>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</si>
  <si>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</si>
  <si>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</si>
  <si>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</si>
  <si>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</si>
  <si>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</si>
  <si>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</si>
  <si>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</si>
  <si>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</si>
  <si>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</si>
  <si>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</si>
  <si>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</si>
  <si>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</si>
  <si>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</si>
  <si>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</si>
  <si>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</si>
  <si>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</si>
  <si>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</si>
  <si>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</si>
  <si>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</si>
  <si>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</si>
  <si>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</si>
  <si>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</si>
  <si>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</si>
  <si>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</si>
  <si>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</si>
  <si>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</si>
  <si>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</si>
  <si>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</si>
  <si>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</si>
  <si>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</si>
  <si>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</si>
  <si>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</si>
  <si>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</si>
  <si>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</si>
  <si>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</si>
  <si>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</si>
  <si>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</si>
  <si>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</si>
  <si>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</si>
  <si>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</si>
  <si>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</si>
  <si>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</si>
  <si>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</si>
  <si>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</si>
  <si>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</si>
  <si>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</si>
  <si>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</si>
  <si>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</si>
  <si>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</si>
  <si>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</si>
  <si>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</si>
  <si>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</si>
  <si>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</si>
  <si>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</si>
  <si>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</si>
  <si>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</si>
  <si>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</si>
  <si>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</si>
  <si>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</si>
  <si>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</si>
  <si>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</si>
  <si>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</si>
  <si>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</si>
  <si>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</si>
  <si>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</si>
  <si>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</si>
  <si>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</si>
  <si>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</si>
  <si>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</si>
  <si>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</si>
  <si>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</si>
  <si>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</si>
  <si>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</si>
  <si>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</si>
  <si>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</si>
  <si>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</si>
  <si>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</si>
  <si>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</si>
  <si>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</si>
  <si>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</si>
  <si>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</si>
  <si>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</si>
  <si>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</si>
  <si>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</si>
  <si>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</si>
  <si>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</si>
  <si>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</si>
  <si>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</si>
  <si>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</si>
  <si>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</si>
  <si>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</si>
  <si>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</si>
  <si>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</si>
  <si>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</si>
  <si>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</si>
  <si>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</si>
  <si>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</si>
  <si>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</si>
  <si>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</si>
  <si>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</si>
  <si>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</si>
  <si>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</si>
  <si>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</si>
  <si>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</si>
  <si>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</si>
  <si>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</si>
  <si>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</si>
  <si>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</si>
  <si>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</si>
  <si>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</si>
  <si>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</si>
  <si>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</si>
  <si>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</si>
  <si>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</si>
  <si>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</si>
  <si>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</si>
  <si>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</si>
  <si>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</si>
  <si>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</si>
  <si>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</si>
  <si>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</si>
  <si>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</si>
  <si>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</si>
  <si>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</si>
  <si>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</si>
  <si>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</si>
  <si>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</si>
  <si>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</si>
  <si>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</si>
  <si>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</si>
  <si>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</si>
  <si>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</si>
  <si>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</si>
  <si>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</si>
  <si>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</si>
  <si>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</si>
  <si>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</si>
  <si>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</si>
  <si>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</si>
  <si>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</si>
  <si>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</si>
  <si>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</si>
  <si>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</si>
  <si>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</si>
  <si>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</si>
  <si>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</si>
  <si>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</si>
  <si>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</si>
  <si>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</si>
  <si>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</si>
  <si>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</si>
  <si>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</si>
  <si>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</si>
  <si>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</si>
  <si>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</si>
  <si>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</si>
  <si>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</si>
  <si>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</si>
  <si>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</si>
  <si>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</si>
  <si>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</si>
  <si>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</si>
  <si>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</si>
  <si>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</si>
  <si>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</si>
  <si>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</si>
  <si>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</si>
  <si>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</si>
  <si>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</si>
  <si>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</si>
  <si>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</si>
  <si>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</si>
  <si>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</si>
  <si>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</si>
  <si>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</si>
  <si>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</si>
  <si>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</si>
  <si>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</si>
  <si>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</si>
  <si>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</si>
  <si>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</si>
  <si>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</si>
  <si>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</si>
  <si>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</si>
  <si>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</si>
  <si>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</si>
  <si>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</si>
  <si>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</si>
  <si>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</si>
  <si>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</si>
  <si>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</si>
  <si>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</si>
  <si>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</si>
  <si>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</si>
  <si>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</si>
  <si>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</si>
  <si>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</si>
  <si>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</si>
  <si>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</si>
  <si>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</si>
  <si>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</si>
  <si>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</si>
  <si>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</si>
  <si>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</si>
  <si>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</si>
  <si>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</si>
  <si>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</si>
  <si>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</si>
  <si>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</si>
  <si>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</si>
  <si>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</si>
  <si>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</si>
  <si>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</si>
  <si>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</si>
  <si>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</si>
  <si>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</si>
  <si>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</si>
  <si>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</si>
  <si>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</si>
  <si>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</si>
  <si>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</si>
  <si>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</si>
  <si>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</si>
  <si>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</si>
  <si>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</si>
  <si>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</si>
  <si>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</si>
  <si>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</si>
  <si>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</si>
  <si>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</si>
  <si>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</si>
  <si>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</si>
  <si>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</si>
  <si>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</si>
  <si>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</si>
  <si>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</si>
  <si>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</si>
  <si>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</si>
  <si>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</si>
  <si>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</si>
  <si>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</si>
  <si>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</si>
  <si>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</si>
  <si>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</si>
  <si>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</si>
  <si>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</si>
  <si>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</si>
  <si>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</si>
  <si>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</si>
  <si>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</si>
  <si>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</si>
  <si>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</si>
  <si>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</si>
  <si>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</si>
  <si>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</si>
  <si>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</si>
  <si>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</si>
  <si>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</si>
  <si>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</si>
  <si>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</si>
  <si>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</si>
  <si>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</si>
  <si>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</si>
  <si>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</si>
  <si>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</si>
  <si>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</si>
  <si>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</si>
  <si>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</si>
  <si>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</si>
  <si>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</si>
  <si>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</si>
  <si>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</si>
  <si>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</si>
  <si>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</si>
  <si>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</si>
  <si>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</si>
  <si>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</si>
  <si>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</si>
  <si>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</si>
  <si>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</si>
  <si>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</si>
  <si>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</si>
  <si>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</si>
  <si>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</si>
  <si>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</si>
  <si>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</si>
  <si>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</si>
  <si>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</si>
  <si>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</si>
  <si>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</si>
  <si>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</si>
  <si>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</si>
  <si>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</si>
  <si>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</si>
  <si>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</si>
  <si>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</si>
  <si>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</si>
  <si>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</si>
  <si>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</si>
  <si>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</si>
  <si>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</si>
  <si>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</si>
  <si>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</si>
  <si>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</si>
  <si>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</si>
  <si>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</si>
  <si>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</si>
  <si>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</si>
  <si>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</si>
  <si>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</si>
  <si>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</si>
  <si>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</si>
  <si>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</si>
  <si>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</si>
  <si>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</si>
  <si>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</si>
  <si>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</si>
  <si>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</si>
  <si>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</si>
  <si>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</si>
  <si>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</si>
  <si>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</si>
  <si>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</si>
  <si>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</si>
  <si>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</si>
  <si>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</si>
  <si>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</si>
  <si>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</si>
  <si>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</si>
  <si>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</si>
  <si>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</si>
  <si>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</si>
  <si>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</si>
  <si>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</si>
  <si>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</si>
  <si>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</si>
  <si>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</si>
  <si>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</si>
  <si>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</si>
  <si>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</si>
  <si>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</si>
  <si>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</si>
  <si>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</si>
  <si>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</si>
  <si>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</si>
  <si>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</si>
  <si>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</si>
  <si>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</si>
  <si>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</si>
  <si>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</si>
  <si>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</si>
  <si>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</si>
  <si>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</si>
  <si>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</si>
  <si>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</si>
  <si>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</si>
  <si>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</si>
  <si>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</si>
  <si>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</si>
  <si>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</si>
  <si>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</si>
  <si>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</si>
  <si>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</si>
  <si>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</si>
  <si>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</si>
  <si>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</si>
  <si>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</si>
  <si>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</si>
  <si>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</si>
  <si>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</si>
  <si>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</si>
  <si>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</si>
  <si>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</si>
  <si>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</si>
  <si>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</si>
  <si>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</si>
  <si>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</si>
  <si>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</si>
  <si>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</si>
  <si>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</si>
  <si>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</si>
  <si>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</si>
  <si>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</si>
  <si>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</si>
  <si>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</si>
  <si>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</si>
  <si>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</si>
  <si>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https://www.mybidfood.cl/#/products/detail/101357006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</si>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</sst>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6"/>
  <sheetViews>
    <sheetView tabSelected="1" zoomScale="76" workbookViewId="0">
      <pane ySplit="1" topLeftCell="A2" activePane="bottomLeft" state="frozen"/>
      <selection pane="bottomLeft" activeCell="I13" sqref="I13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>G3/H3</f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>G4/H4</f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>G5/H5</f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>G6/H6</f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>G7/H7</f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>G8/H8</f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>G9/H9</f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>G10/H10</f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>G11/H11</f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>G12/H12</f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>G13/H13</f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>G14/H14</f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>G15/H15</f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>G16/H16</f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>G17/H17</f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>G18/H18</f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>G19/H19</f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>G20/H20</f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>G21/H21</f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>G22/H22</f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>G23/H23</f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>G24/H24</f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>G25/H25</f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>G26/H26</f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>G27/H27</f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>G28/H28</f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>G29/H29</f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>G30/H30</f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>G31/H31</f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>G32/H32</f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>G33/H33</f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>G34/H34</f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>G35/H35</f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>G36/H36</f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>G37/H37</f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>G38/H38</f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>G39/H39</f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>G40/H40</f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>G41/H41</f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>G42/H42</f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>G43/H43</f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>G44/H44</f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>G45/H45</f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>G46/H46</f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>G47/H47</f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>G48/H48</f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>G49/H49</f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>G50/H50</f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>G51/H51</f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>G52/H52</f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>G53/H53</f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>G54/H54</f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>G55/H55</f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>G56/H56</f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>G57/H57</f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>G58/H58</f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>G59/H59</f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>G60/H60</f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>G61/H61</f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>G62/H62</f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>G63/H63</f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>G64/H64</f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>G65/H65</f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>G67/H67</f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>G68/H68</f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>G69/H69</f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>G70/H70</f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>G71/H71</f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>G72/H72</f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>G73/H73</f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>G74/H74</f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>G75/H75</f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>G76/H76</f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>G77/H77</f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>G78/H78</f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>G79/H79</f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>G80/H80</f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>G81/H81</f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>G82/H82</f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>G83/H83</f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>G84/H84</f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>G85/H85</f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>G86/H86</f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>G87/H87</f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>G88/H88</f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>G89/H89</f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>G90/H90</f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>G91/H91</f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>G92/H92</f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>G93/H93</f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>G94/H94</f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>G95/H95</f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>G96/H96</f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>G97/H97</f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>G98/H98</f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>G99/H99</f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>G100/H100</f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>G101/H101</f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>G102/H102</f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>G103/H103</f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>G104/H104</f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>G105/H105</f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>G106/H106</f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>G107/H107</f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>G108/H108</f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>G109/H109</f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>G110/H110</f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>G111/H111</f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>G112/H112</f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>G113/H113</f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>G114/H114</f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>G115/H115</f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>G116/H116</f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>G117/H117</f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>G118/H118</f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>G119/H119</f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>G120/H120</f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>G121/H121</f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>G122/H122</f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>G123/H123</f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>G124/H124</f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>G125/H125</f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>G126/H126</f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>G127/H127</f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>G128/H128</f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>G129/H129</f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>G131/H131</f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>G132/H132</f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>G133/H133</f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>G134/H134</f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>G135/H135</f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>G136/H136</f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>G137/H137</f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>G138/H138</f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>G139/H139</f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>G140/H140</f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>G141/H141</f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>G142/H142</f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>G143/H143</f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>G144/H144</f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>G145/H145</f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>G146/H146</f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>G147/H147</f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>G148/H148</f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>G149/H149</f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>G150/H150</f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>G151/H151</f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>G152/H152</f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>G153/H153</f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>G154/H154</f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>G155/H155</f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>G156/H156</f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>G157/H157</f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>G158/H158</f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>G159/H159</f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>G160/H160</f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>G161/H161</f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>G162/H162</f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>G163/H163</f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>G164/H164</f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>G165/H165</f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>G166/H166</f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>G167/H167</f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>G168/H168</f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>G169/H169</f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>G170/H170</f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>G171/H171</f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>G172/H172</f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>G173/H173</f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>G174/H174</f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>G175/H175</f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>G176/H176</f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>G177/H177</f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>G178/H178</f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>G179/H179</f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>G180/H180</f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>G181/H181</f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>G182/H182</f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>G183/H183</f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>G184/H184</f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>G185/H185</f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>G186/H186</f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>G187/H187</f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>G188/H188</f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>G189/H189</f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>G190/H190</f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>G191/H191</f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>G192/H192</f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>G193/H193</f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>G195/H195</f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>G196/H196</f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>G197/H197</f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>G198/H198</f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>G199/H199</f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>G200/H200</f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>G201/H201</f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>G202/H202</f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>G203/H203</f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>G204/H204</f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>G205/H205</f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>G206/H206</f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>G207/H207</f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>G208/H208</f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>G209/H209</f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>G210/H210</f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>G211/H211</f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>G212/H212</f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>G213/H213</f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>G214/H214</f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>G215/H215</f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>G216/H216</f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>G217/H217</f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>G218/H218</f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>G219/H219</f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>G220/H220</f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>G221/H221</f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>G222/H222</f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>G223/H223</f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>G224/H224</f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>G225/H225</f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>G226/H226</f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>G227/H227</f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>G228/H228</f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>G229/H229</f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>G230/H230</f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>G231/H231</f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>G232/H232</f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>G233/H233</f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>G234/H234</f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>G235/H235</f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>G236/H236</f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>G237/H237</f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>G238/H238</f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>G239/H239</f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>G240/H240</f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>G241/H241</f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>G242/H242</f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>G243/H243</f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>G244/H244</f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>G245/H245</f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>G246/H246</f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>G247/H247</f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>G248/H248</f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>G249/H249</f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>G250/H250</f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>G251/H251</f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>G252/H252</f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>G253/H253</f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>G254/H254</f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>G255/H255</f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>G256/H256</f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>G257/H257</f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>G259/H259</f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>G260/H260</f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>G261/H261</f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>G262/H262</f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>G263/H263</f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>G264/H264</f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>G265/H265</f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>G266/H266</f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>G267/H267</f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>G268/H268</f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>G269/H269</f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>G270/H270</f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>G271/H271</f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>G272/H272</f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>G273/H273</f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>G274/H274</f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>G275/H275</f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>G276/H276</f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>G277/H277</f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>G278/H278</f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>G279/H279</f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>G280/H280</f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>G281/H281</f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>G282/H282</f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>G283/H283</f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>G284/H284</f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>G285/H285</f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>G286/H286</f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>G287/H287</f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>G288/H288</f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>G289/H289</f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>G290/H290</f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>G291/H291</f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>G292/H292</f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>G293/H293</f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>G294/H294</f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>G295/H295</f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>G296/H296</f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>G297/H297</f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>G298/H298</f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>G299/H299</f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>G300/H300</f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>G301/H301</f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>G302/H302</f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>G303/H303</f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>G304/H304</f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>G305/H305</f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>G306/H306</f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>G307/H307</f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>G308/H308</f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>G309/H309</f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>G310/H310</f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>G311/H311</f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>G312/H312</f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>G313/H313</f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>G314/H314</f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>G315/H315</f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>G316/H316</f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>G317/H317</f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>G318/H318</f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>G319/H319</f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>G320/H320</f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>G321/H321</f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>G323/H323</f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>G324/H324</f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>G325/H325</f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>G326/H326</f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>G327/H327</f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>G328/H328</f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>G329/H329</f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>G330/H330</f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>G331/H331</f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>G332/H332</f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>G333/H333</f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>G334/H334</f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>G335/H335</f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>G336/H336</f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>G337/H337</f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>G338/H338</f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>G339/H339</f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>G340/H340</f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>G341/H341</f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>G342/H342</f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>G343/H343</f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>G344/H344</f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>G345/H345</f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>G346/H346</f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>G347/H347</f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>G348/H348</f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>G349/H349</f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>G350/H350</f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>G351/H351</f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>G352/H352</f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>G353/H353</f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>G354/H354</f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>G355/H355</f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>G356/H356</f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>G357/H357</f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>G358/H358</f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>G359/H359</f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>G360/H360</f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>G361/H361</f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>G362/H362</f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>G363/H363</f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>G364/H364</f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>G365/H365</f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>G366/H366</f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>G367/H367</f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>G368/H368</f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>G369/H369</f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>G370/H370</f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>G371/H371</f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>G372/H372</f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>G373/H373</f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>G374/H374</f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>G375/H375</f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>G376/H376</f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>G377/H377</f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>G378/H378</f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>G379/H379</f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>G380/H380</f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>G381/H381</f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>G382/H382</f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>G383/H383</f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>G384/H384</f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>G385/H385</f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>G387/H387</f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>G388/H388</f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>G389/H389</f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>G390/H390</f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>G391/H391</f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>G392/H392</f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>G393/H393</f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>G394/H394</f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>G395/H395</f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>G396/H396</f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>G397/H397</f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>G398/H398</f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>G399/H399</f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>G400/H400</f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>G401/H401</f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>G402/H402</f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>G403/H403</f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>G404/H404</f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>G405/H405</f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>G406/H406</f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>G407/H407</f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>G408/H408</f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>G409/H409</f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>G410/H410</f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>G411/H411</f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>G412/H412</f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>G413/H413</f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>G414/H414</f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>G415/H415</f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>G416/H416</f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>G417/H417</f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>G418/H418</f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>G419/H419</f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>G420/H420</f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>G421/H421</f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>G422/H422</f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>G423/H423</f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>G424/H424</f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>G425/H425</f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>G426/H426</f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>G427/H427</f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>G428/H428</f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>G429/H429</f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>G430/H430</f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>G431/H431</f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>G432/H432</f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>G433/H433</f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>G434/H434</f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>G435/H435</f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>G436/H436</f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>G437/H437</f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>G438/H438</f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>G439/H439</f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>G440/H440</f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>G441/H441</f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>G442/H442</f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>G443/H443</f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>G444/H444</f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>G445/H445</f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>G446/H446</f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>G447/H447</f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>G448/H448</f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>G449/H449</f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>G451/H451</f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>G452/H452</f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>G453/H453</f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>G454/H454</f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>G455/H455</f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>G456/H456</f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>G457/H457</f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>G458/H458</f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>G459/H459</f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>G460/H460</f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>G461/H461</f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>G462/H462</f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>G463/H463</f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>G464/H464</f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>G465/H465</f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>G466/H466</f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>G467/H467</f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>G468/H468</f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>G469/H469</f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>G470/H470</f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>G471/H471</f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>G472/H472</f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>G473/H473</f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>G474/H474</f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>G475/H475</f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>G476/H476</f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>G477/H477</f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>G478/H478</f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>G484/H484/1.19</f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>G485/H485/1.19</f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>G486/H486/1.19</f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>G487/H487/1.19</f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>G488/H488/1.19</f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>G489/H489/1.19</f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>G490/H490/1.19</f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>G491/H491/1.19</f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>G492/H492/1.19</f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>G493/H493/1.19</f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>G494/H494/1.19</f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>G495/H495/1.19</f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>G496/H496/1.19</f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>G497/H497/1.19</f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>G498/H498/1.19</f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>G499/H499/1.19</f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>G500/H500/1.19</f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>G501/H501/1.19</f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>G502/H502/1.19</f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>G503/H503/1.19</f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>G504/H504/1.19</f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>G505/H505/1.19</f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>G510/H510/1.19</f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>G511/H511/1.19</f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>G512/H512/1.19</f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>G513/H513/1.19</f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>G514/H514/1.19</f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>G515/H515/1.19</f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>G516/H516/1.19</f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>G517/H517/1.19</f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>G520/H520/1.19</f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>G521/H521/1.19</f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>G522/H522/1.19</f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>G523/H523/1.19</f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>G524/H524/1.19</f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>G525/H525/1.19</f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>G526/H526/1.19</f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>G527/H527/1.19</f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>G530/H530/1.19</f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>G531/H531/1.19</f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>G532/H532/1.19</f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>G533/H533/1.19</f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>G534/H534/1.19</f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>G535/H535/1.19</f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>G538/H538/1.19</f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>G539/H539/1.19</f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>G540/H540/1.19</f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>G541/H541/1.19</f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>G542/H542/1.19</f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>G543/H543/1.19</f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>G547/H547/1.19</f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>G548/H548/1.19</f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>G549/H549/1.19</f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>G550/H550/1.19</f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>G551/H551/1.19</f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>G552/H552/1.19</f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>G553/H553/1.19</f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>G554/H554/1.19</f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>G555/H555/1.19</f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>G556/H556/1.19</f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>G557/H557/1.19</f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>G558/H558/1.19</f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>G559/H559/1.19</f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>G560/H560/1.19</f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>G561/H561/1.19</f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>G562/H562/1.19</f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>G563/H563/1.19</f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>G564/H564/1.19</f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>G565/H565/1.19</f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>G566/H566/1.19</f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>G567/H567/1.19</f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>G568/H568/1.19</f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>G569/H569/1.19</f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>G570/H570/1.19</f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>G571/H571/1.19</f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>G572/H572/1.19</f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>G573/H573/1.19</f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>G574/H574/1.19</f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>G575/H575/1.19</f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>G578/H578/1.19</f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>G579/H579/1.19</f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>G580/H580/1.19</f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>G581/H581/1.19</f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>G582/H582/1.19</f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>G583/H583/1.19</f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>G584/H584/1.19</f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>G585/H585/1.19</f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>G586/H586/1.19</f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>G587/H587/1.19</f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>G588/H588/1.19</f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>G589/H589/1.19</f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>G590/H590/1.19</f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>G591/H591/1.19</f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>G592/H592/1.19</f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>G593/H593/1.19</f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>G594/H594/1.19</f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>G595/H595/1.19</f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>G596/H596/1.19</f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>G597/H597/1.19</f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>G598/H598/1.19</f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>G599/H599/1.19</f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>G600/H600/1.19</f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>G601/H601/1.19</f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>G602/H602/1.19</f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>G603/H603/1.19</f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>G604/H604/1.19</f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>G607/H607/1.19</f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>G608/H608/1.19</f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>G609/H609/1.19</f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>G610/H610/1.19</f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>G611/H611/1.19</f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>G612/H612/1.19</f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>G613/H613/1.19</f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>G614/H614/1.19</f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>G615/H615/1.19</f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>G616/H616/1.19</f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>G617/H617/1.19</f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>G618/H618/1.19</f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>G619/H619/1.19</f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>G620/H620/1.19</f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>G623/H623/1.19</f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>G624/H624/1.19</f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>G625/H625/1.19</f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>G626/H626/1.19</f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>G627/H627/1.19</f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>G628/H628/1.19</f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>G629/H629/1.19</f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>G630/H630/1.19</f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>G631/H631/1.19</f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>G632/H632/1.19</f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>G633/H633/1.19</f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>G634/H634/1.19</f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>G635/H635/1.19</f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>G636/H636/1.19</f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>G637/H637/1.19</f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>G638/H638/1.19</f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>G639/H639/1.19</f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>G640/H640/1.19</f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>G644/H644/1.19</f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>G645/H645/1.19</f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>G646/H646/1.19</f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>G647/H647/1.19</f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>G648/H648/1.19</f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>G649/H649/1.19</f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>G650/H650/1.19</f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>G651/H651/1.19</f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>G652/H652/1.19</f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>G653/H653/1.19</f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>G654/H654/1.19</f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>G655/H655/1.19</f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>G656/H656/1.19</f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>G657/H657/1.19</f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>G658/H658/1.19</f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>G659/H659/1.19</f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>G660/H660/1.19</f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>G661/H661/1.19</f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>G662/H662/1.19</f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>G663/H663/1.19</f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>G664/H664/1.19</f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>G665/H665/1.19</f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>G666/H666/1.19</f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>G667/H667/1.19</f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>G668/H668/1.19</f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>G669/H669/1.19</f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>G670/H670/1.19</f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>G671/H671/1.19</f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>G672/H672/1.19</f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>G673/H673/1.19</f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>G674/H674/1.19</f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>G676/H676/1.19</f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>G677/H677/1.19</f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>G678/H678/1.19</f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>G679/H679/1.19</f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>G680/H680/1.19</f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>G681/H681/1.19</f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>G682/H682/1.19</f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>G683/H683/1.19</f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>G684/H684/1.19</f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>G685/H685/1.19</f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>G686/H686/1.19</f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>G687/H687/1.19</f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>G688/H688/1.19</f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>G689/H689/1.19</f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>G690/H690/1.19</f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>G691/H691/1.19</f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>G692/H692/1.19</f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>G693/H693/1.19</f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>G694/H694/1.19</f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>G695/H695/1.19</f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>G696/H696/1.19</f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>G697/H697/1.19</f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>G698/H698/1.19</f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>G699/H699/1.19</f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>G700/H700/1.19</f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>G701/H701/1.19</f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>G702/H702/1.19</f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>G703/H703/1.19</f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>G704/H704/1.19</f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>G705/H705/1.19</f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>G706/H706/1.19</f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>G708/H708/1.19</f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>G709/H709/1.19</f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>G710/H710/1.19</f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>G711/H711/1.19</f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>G712/H712/1.19</f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>G713/H713/1.19</f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>G714/H714/1.19</f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>G715/H715/1.19</f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>G716/H716/1.19</f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>G717/H717/1.19</f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>G718/H718/1.19</f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>G719/H719/1.19</f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>G720/H720/1.19</f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>G721/H721/1.19</f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>G722/H722/1.19</f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>G723/H723/1.19</f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>G724/H724/1.19</f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>G725/H725/1.19</f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>G726/H726/1.19</f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>G727/H727/1.19</f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>G728/H728/1.19</f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>G729/H729/1.19</f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>G730/H730/1.19</f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>G731/H731/1.19</f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>G732/H732/1.19</f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>G733/H733/1.19</f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>G734/H734/1.19</f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>G735/H735/1.19</f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>G746/H746/1.19</f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>G747/H747/1.19</f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>G748/H748/1.19</f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>G749/H749/1.19</f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>G750/H750/1.19</f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>G751/H751/1.19</f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>G752/H752/1.19</f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>G753/H753/1.19</f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>G754/H754/1.19</f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>G755/H755/1.19</f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>G756/H756/1.19</f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>G757/H757/1.19</f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>G758/H758/1.19</f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>G759/H759/1.19</f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>G760/H760/1.19</f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>G761/H761/1.19</f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>G762/H762/1.19</f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>G763/H763/1.19</f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>G764/H764/1.19</f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>G765/H765/1.19</f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>G766/H766/1.19</f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>G767/H767/1.19</f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>G768/H768/1.19</f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>G769/H769/1.19</f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>G770/H770/1.19</f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>G771/H771/1.19</f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>G772/H772/1.19</f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>G773/H773/1.19</f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>G774/H774/1.19</f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>G775/H775/1.19</f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>G776/H776/1.19</f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>G778/H778/1.19</f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>G779/H779/1.19</f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>G780/H780/1.19</f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>G781/H781/1.19</f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>G782/H782/1.19</f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>G783/H783/1.19</f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>G784/H784/1.19</f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>G785/H785/1.19</f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>G786/H786/1.19</f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>G787/H787/1.19</f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>G788/H788/1.19</f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>G789/H789/1.19</f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>G790/H790/1.19</f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>G791/H791/1.19</f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>G792/H792/1.19</f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>G793/H793/1.19</f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>G794/H794/1.19</f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>G795/H795/1.19</f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>G796/H796/1.19</f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>G797/H797/1.19</f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>G798/H798/1.19</f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>G799/H799/1.19</f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>G800/H800/1.19</f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>G801/H801/1.19</f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>G802/H802/1.19</f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>G803/H803/1.19</f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>G804/H804/1.19</f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>G805/H805/1.19</f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>G806/H806/1.19</f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>G807/H807/1.19</f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>G808/H808/1.19</f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>G810/H810/1.19</f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>G811/H811/1.19</f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>G812/H812/1.19</f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>G813/H813/1.19</f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>G814/H814/1.19</f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>G815/H815/1.19</f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>G816/H816/1.19</f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>G817/H817/1.19</f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>G818/H818/1.19</f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57234</v>
      </c>
      <c r="H850">
        <v>18.899999999999999</v>
      </c>
      <c r="I850">
        <v>3028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>G854/H854/1.19</f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>G855/H855/1.19</f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>G856/H856/1.19</f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>G857/H857/1.19</f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>G858/H858/1.19</f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>G859/H859/1.19</f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>G860/H860/1.19</f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>G861/H861/1.19</f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>G862/H862/1.19</f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>G865/H865/1.19</f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>G866/H866/1.19</f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>G867/H867/1.19</f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>G868/H868/1.19</f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>G869/H869/1.19</f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>G870/H870/1.19</f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>G871/H871/1.19</f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>G872/H872/1.19</f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>G873/H873/1.19</f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>G874/H874/1.19</f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>G875/H875/1.19</f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>G876/H876/1.19</f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>G877/H877/1.19</f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>G878/H878/1.19</f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>G879/H879/1.19</f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>G880/H880/1.19</f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>G881/H881/1.19</f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>G882/H882/1.19</f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>G883/H883/1.19</f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>G884/H884/1.19</f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>G885/H885/1.19</f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>G886/H886/1.19</f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>G887/H887/1.19</f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>G888/H888/1.19</f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>G889/H889/1.19</f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>G890/H890/1.19</f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>G891/H891/1.19</f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>G892/H892/1.19</f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>G893/H893/1.19</f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>G894/H894/1.19</f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>G895/H895/1.19</f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>G896/H896/1.19</f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>G897/H897/1.19</f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>G898/H898/1.19</f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>G899/H899/1.19</f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>G900/H900/1.19</f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>G901/H901/1.19</f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>G902/H902/1.19</f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>G903/H903/1.19</f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>G904/H904/1.19</f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>G907/H907/1.19</f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>G908/H908/1.19</f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>G909/H909/1.19</f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>G910/H910/1.19</f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>G911/H911/1.19</f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>G912/H912/1.19</f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>G913/H913/1.19</f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>G916/H916/1.19</f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>G917/H917/1.19</f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>G918/H918/1.19</f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>G919/H919/1.19</f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>G920/H920/1.19</f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>G921/H921/1.19</f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>G922/H922/1.19</f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>G923/H923/1.19</f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>G924/H924/1.19</f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>G925/H925/1.19</f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>G926/H926/1.19</f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>G927/H927/1.19</f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>G928/H928/1.19</f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>G931/H931/1.19</f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>G932/H932/1.19</f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>G933/H933/1.19</f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>G934/H934/1.19</f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>G935/H935/1.19</f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>G936/H936/1.19</f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>G937/H937/1.19</f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>G938/H938/1.19</f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>G940/H940</f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>G941/H941</f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>G942/H942</f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1072</v>
      </c>
      <c r="G943">
        <v>3070</v>
      </c>
      <c r="H943">
        <v>1</v>
      </c>
      <c r="I943" s="5">
        <f>G943/H943</f>
        <v>3070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>G944/H944</f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1</v>
      </c>
      <c r="I945" s="5">
        <f>G945/H945</f>
        <v>3070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>G946/H946</f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>G947/H947</f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>G948/H948</f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>G949/H949</f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>G950/H950</f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>G951/H951</f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>G952/H952</f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>G953/H953</f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>G954/H954</f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>G955/H955</f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>G956/H956</f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>G957/H957</f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>G958/H958</f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>G959/H959</f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>G960/H960</f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>G961/H961</f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>G962/H962</f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>G963/H963</f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>G964/H964</f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>G965/H965</f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>G966/H966</f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>G967/H967</f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>G968/H968</f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>G969/H969</f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>G970/H970</f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>G972/H972</f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>G973/H973</f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>G974/H974</f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>G975/H975</f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>G976/H976</f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>G977/H977</f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>G978/H978</f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>G979/H979</f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>G980/H980</f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>G981/H981</f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>G982/H982</f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>G983/H983</f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>G984/H984</f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>G985/H985</f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>G986/H986</f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>G987/H987</f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>G988/H988</f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>G989/H989</f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>G990/H990</f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>G991/H991</f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>G992/H992</f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>G993/H993</f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>G994/H994</f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>G995/H995</f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>G996/H996</f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>G997/H997</f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>G998/H998</f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>G999/H999</f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>G1000/H1000</f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>G1001/H1001</f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>G1002/H1002</f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>G1004/H1004</f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>G1005/H1005</f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>G1006/H1006</f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>G1007/H1007</f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>G1008/H1008</f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>G1009/H1009</f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>G1010/H1010</f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>G1011/H1011</f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>G1012/H1012</f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>G1015/H1015</f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>G1016/H1016</f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>G1017/H1017</f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>G1018/H1018</f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>G1019/H1019</f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>G1023/H1023</f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>G1024/H1024</f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>G1025/H1025</f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>G1026/H1026</f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>G1027/H1027</f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>G1030/H1030</f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>G1031/H1031</f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>G1032/H1032</f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>G1033/H1033</f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>G1034/H1034</f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>G1035/H1035</f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>G1036/H1036</f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>G1037/H1037</f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>G1038/H1038</f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>G1039/H1039</f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>G1040/H1040</f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>G1041/H1041</f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>G1042/H1042</f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>G1043/H1043</f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>G1044/H1044</f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>G1045/H1045</f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>G1046/H1046</f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>G1047/H1047</f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>G1048/H1048</f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>G1049/H1049</f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>G1050/H1050</f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>G1051/H1051</f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>G1052/H1052</f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>G1053/H1053</f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>G1054/H1054</f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>G1055/H1055</f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>G1056/H1056</f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>G1057/H1057</f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>G1058/H1058</f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>G1059/H1059</f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>G1060/H1060</f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>G1062/H1062</f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>G1063/H1063</f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>G1064/H1064</f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>G1065/H1065</f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>G1066/H1066</f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>G1067/H1067</f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>G1068/H1068</f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>G1069/H1069</f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>G1070/H1070</f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>G1071/H1071</f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>G1072/H1072</f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>G1073/H1073</f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>G1074/H1074</f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>G1075/H1075</f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>G1076/H1076</f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>G1077/H1077</f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>G1078/H1078</f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>G1079/H1079</f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>G1080/H1080</f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>G1081/H1081</f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>G1082/H1082</f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>G1083/H1083</f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>G1084/H1084</f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>G1085/H1085</f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>G1086/H1086</f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>G1087/H1087</f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>G1088/H1088</f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>G1089/H1089</f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>G1090/H1090</f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>G1091/H1091</f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>G1092/H1092</f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>G1094/H1094</f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>G1095/H1095</f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>G1096/H1096</f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>G1097/H1097</f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>G1098/H1098</f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>G1099/H1099</f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>G1100/H1100</f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>G1101/H1101</f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>G1102/H1102</f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>G1103/H1103</f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>G1104/H1104</f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>G1105/H1105</f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>G1106/H1106</f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>G1107/H1107</f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>G1108/H1108</f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>G1109/H1109</f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>G1110/H1110</f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>G1111/H1111</f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>G1112/H1112</f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>G1113/H1113</f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>G1114/H1114</f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>G1115/H1115</f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>G1116/H1116</f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>G1117/H1117</f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>G1118/H1118</f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>G1119/H1119</f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>G1120/H1120</f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>G1121/H1121</f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>G1122/H1122</f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>G1123/H1123</f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>G1124/H1124</f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>G1126/H1126</f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>G1127/H1127</f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>G1128/H1128</f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>G1129/H1129</f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>G1130/H1130</f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>G1131/H1131</f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>G1132/H1132</f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>G1133/H1133</f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>G1134/H1134</f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>G1135/H1135</f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>G1136/H1136</f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>G1137/H1137</f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>G1138/H1138</f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>G1139/H1139</f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>G1140/H1140</f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>G1141/H1141</f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>G1142/H1142</f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>G1143/H1143</f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>G1144/H1144</f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>G1145/H1145</f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>G1146/H1146</f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>G1147/H1147</f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>G1148/H1148</f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>G1149/H1149</f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>G1150/H1150</f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>G1151/H1151</f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>G1152/H1152</f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>G1153/H1153</f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>G1154/H1154</f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>G1155/H1155</f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>G1156/H1156</f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>G1158/H1158</f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>G1159/H1159</f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>G1160/H1160</f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>G1161/H1161</f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>G1162/H1162</f>
        <v>4321</v>
      </c>
      <c r="J1162" s="3">
        <v>45964</v>
      </c>
      <c r="L1162" t="s">
        <v>1066</v>
      </c>
    </row>
    <row r="1163" spans="1:12" ht="72.5" x14ac:dyDescent="0.35">
      <c r="A1163">
        <v>104542680</v>
      </c>
      <c r="B1163" t="s">
        <v>470</v>
      </c>
      <c r="E1163" t="s">
        <v>584</v>
      </c>
      <c r="F1163" s="1" t="s">
        <v>1243</v>
      </c>
      <c r="G1163">
        <v>5007</v>
      </c>
      <c r="H1163">
        <v>1</v>
      </c>
      <c r="I1163" s="5">
        <f>G1163/H1163</f>
        <v>5007</v>
      </c>
      <c r="J1163" s="3">
        <v>45964</v>
      </c>
      <c r="L1163" t="s">
        <v>1066</v>
      </c>
    </row>
    <row r="1164" spans="1:12" ht="72.5" x14ac:dyDescent="0.35">
      <c r="A1164">
        <v>104300530</v>
      </c>
      <c r="B1164" t="s">
        <v>472</v>
      </c>
      <c r="E1164" t="s">
        <v>584</v>
      </c>
      <c r="F1164" s="1" t="s">
        <v>1244</v>
      </c>
      <c r="G1164">
        <v>906</v>
      </c>
      <c r="H1164">
        <v>0.5</v>
      </c>
      <c r="I1164" s="5">
        <f>G1164/H1164</f>
        <v>1812</v>
      </c>
      <c r="J1164" s="3">
        <v>45964</v>
      </c>
      <c r="L1164" t="s">
        <v>1066</v>
      </c>
    </row>
    <row r="1165" spans="1:12" ht="72.5" x14ac:dyDescent="0.35">
      <c r="A1165">
        <v>104545030</v>
      </c>
      <c r="B1165" t="s">
        <v>473</v>
      </c>
      <c r="E1165" t="s">
        <v>584</v>
      </c>
      <c r="F1165" s="1" t="s">
        <v>1244</v>
      </c>
      <c r="G1165">
        <v>906</v>
      </c>
      <c r="H1165">
        <v>0.5</v>
      </c>
      <c r="I1165" s="5">
        <f>G1165/H1165</f>
        <v>1812</v>
      </c>
      <c r="J1165" s="3">
        <v>45964</v>
      </c>
      <c r="L1165" t="s">
        <v>1066</v>
      </c>
    </row>
    <row r="1166" spans="1:12" ht="72.5" x14ac:dyDescent="0.35">
      <c r="A1166">
        <v>104534090</v>
      </c>
      <c r="B1166" t="s">
        <v>474</v>
      </c>
      <c r="E1166" t="s">
        <v>584</v>
      </c>
      <c r="F1166" s="1" t="s">
        <v>1245</v>
      </c>
      <c r="G1166">
        <v>9547</v>
      </c>
      <c r="H1166">
        <v>5</v>
      </c>
      <c r="I1166" s="5">
        <f>G1166/H1166</f>
        <v>1909.4</v>
      </c>
      <c r="J1166" s="3">
        <v>45964</v>
      </c>
      <c r="L1166" t="s">
        <v>1066</v>
      </c>
    </row>
    <row r="1167" spans="1:12" ht="72.5" x14ac:dyDescent="0.35">
      <c r="A1167">
        <v>150001692</v>
      </c>
      <c r="B1167" t="s">
        <v>476</v>
      </c>
      <c r="E1167" t="s">
        <v>584</v>
      </c>
      <c r="F1167" s="1" t="s">
        <v>1246</v>
      </c>
      <c r="G1167">
        <v>3981</v>
      </c>
      <c r="H1167">
        <v>5</v>
      </c>
      <c r="I1167" s="5">
        <f>G1167/H1167</f>
        <v>796.2</v>
      </c>
      <c r="J1167" s="3">
        <v>45964</v>
      </c>
      <c r="L1167" t="s">
        <v>1066</v>
      </c>
    </row>
    <row r="1168" spans="1:12" ht="72.5" x14ac:dyDescent="0.35">
      <c r="A1168">
        <v>104526090</v>
      </c>
      <c r="B1168" t="s">
        <v>478</v>
      </c>
      <c r="E1168" t="s">
        <v>584</v>
      </c>
      <c r="F1168" s="1" t="s">
        <v>979</v>
      </c>
      <c r="G1168">
        <v>243</v>
      </c>
      <c r="H1168">
        <v>1</v>
      </c>
      <c r="I1168" s="5">
        <f>G1168/H1168</f>
        <v>243</v>
      </c>
      <c r="J1168" s="3">
        <v>45964</v>
      </c>
      <c r="L1168" t="s">
        <v>1066</v>
      </c>
    </row>
    <row r="1169" spans="1:12" ht="72.5" x14ac:dyDescent="0.35">
      <c r="A1169">
        <v>104525040</v>
      </c>
      <c r="B1169" t="s">
        <v>479</v>
      </c>
      <c r="E1169" t="s">
        <v>584</v>
      </c>
      <c r="F1169" s="1" t="s">
        <v>1247</v>
      </c>
      <c r="G1169">
        <v>6179</v>
      </c>
      <c r="H1169">
        <v>1</v>
      </c>
      <c r="I1169" s="5">
        <f>G1169/H1169</f>
        <v>6179</v>
      </c>
      <c r="J1169" s="3">
        <v>45964</v>
      </c>
      <c r="L1169" t="s">
        <v>1066</v>
      </c>
    </row>
    <row r="1170" spans="1:12" ht="72.5" x14ac:dyDescent="0.35">
      <c r="A1170">
        <v>150000983</v>
      </c>
      <c r="B1170" t="s">
        <v>483</v>
      </c>
      <c r="E1170" t="s">
        <v>584</v>
      </c>
      <c r="F1170" s="1" t="s">
        <v>1248</v>
      </c>
      <c r="G1170">
        <v>8077</v>
      </c>
      <c r="H1170">
        <v>0.96499999999999997</v>
      </c>
      <c r="I1170" s="5">
        <f>G1170/H1170</f>
        <v>8369.9481865284979</v>
      </c>
      <c r="J1170" s="3">
        <v>45964</v>
      </c>
      <c r="L1170" t="s">
        <v>1066</v>
      </c>
    </row>
    <row r="1171" spans="1:12" ht="72.5" x14ac:dyDescent="0.35">
      <c r="A1171">
        <v>104521820</v>
      </c>
      <c r="B1171" t="s">
        <v>492</v>
      </c>
      <c r="E1171" t="s">
        <v>584</v>
      </c>
      <c r="F1171" s="1" t="s">
        <v>1249</v>
      </c>
      <c r="G1171">
        <v>2054</v>
      </c>
      <c r="H1171">
        <v>0.5</v>
      </c>
      <c r="I1171" s="5">
        <f>G1171/H1171</f>
        <v>4108</v>
      </c>
      <c r="J1171" s="3">
        <v>45964</v>
      </c>
      <c r="L1171" t="s">
        <v>1066</v>
      </c>
    </row>
    <row r="1172" spans="1:12" ht="72.5" x14ac:dyDescent="0.35">
      <c r="A1172">
        <v>104521730</v>
      </c>
      <c r="B1172" t="s">
        <v>493</v>
      </c>
      <c r="E1172" t="s">
        <v>584</v>
      </c>
      <c r="F1172" s="1" t="s">
        <v>1250</v>
      </c>
      <c r="G1172">
        <v>2748</v>
      </c>
      <c r="H1172">
        <v>0.5</v>
      </c>
      <c r="I1172" s="5">
        <f>G1172/H1172</f>
        <v>5496</v>
      </c>
      <c r="J1172" s="3">
        <v>45964</v>
      </c>
      <c r="L1172" t="s">
        <v>1066</v>
      </c>
    </row>
    <row r="1173" spans="1:12" ht="72.5" x14ac:dyDescent="0.35">
      <c r="A1173">
        <v>104534450</v>
      </c>
      <c r="B1173" t="s">
        <v>494</v>
      </c>
      <c r="E1173" t="s">
        <v>584</v>
      </c>
      <c r="F1173" s="1" t="s">
        <v>1251</v>
      </c>
      <c r="G1173">
        <v>4120</v>
      </c>
      <c r="H1173">
        <v>0.84</v>
      </c>
      <c r="I1173" s="5">
        <f>G1173/H1173</f>
        <v>4904.7619047619046</v>
      </c>
      <c r="J1173" s="3">
        <v>45964</v>
      </c>
      <c r="L1173" t="s">
        <v>1066</v>
      </c>
    </row>
    <row r="1174" spans="1:12" ht="72.5" x14ac:dyDescent="0.35">
      <c r="A1174">
        <v>104534440</v>
      </c>
      <c r="B1174" t="s">
        <v>496</v>
      </c>
      <c r="E1174" t="s">
        <v>584</v>
      </c>
      <c r="F1174" s="1" t="s">
        <v>1252</v>
      </c>
      <c r="G1174">
        <v>5248</v>
      </c>
      <c r="H1174">
        <v>0.84</v>
      </c>
      <c r="I1174" s="5">
        <f>G1174/H1174</f>
        <v>6247.6190476190477</v>
      </c>
      <c r="J1174" s="3">
        <v>45964</v>
      </c>
      <c r="L1174" t="s">
        <v>1066</v>
      </c>
    </row>
    <row r="1175" spans="1:12" ht="72.5" x14ac:dyDescent="0.35">
      <c r="A1175">
        <v>104539200</v>
      </c>
      <c r="B1175" t="s">
        <v>499</v>
      </c>
      <c r="E1175" t="s">
        <v>584</v>
      </c>
      <c r="F1175" s="1" t="s">
        <v>1138</v>
      </c>
      <c r="G1175">
        <v>1625</v>
      </c>
      <c r="H1175">
        <v>0.36</v>
      </c>
      <c r="I1175" s="5">
        <f>G1175/H1175</f>
        <v>4513.8888888888887</v>
      </c>
      <c r="J1175" s="3">
        <v>45964</v>
      </c>
      <c r="L1175" t="s">
        <v>1066</v>
      </c>
    </row>
    <row r="1176" spans="1:12" ht="72.5" x14ac:dyDescent="0.35">
      <c r="A1176">
        <v>104539430</v>
      </c>
      <c r="B1176" t="s">
        <v>504</v>
      </c>
      <c r="E1176" t="s">
        <v>584</v>
      </c>
      <c r="F1176" s="1" t="s">
        <v>791</v>
      </c>
      <c r="G1176">
        <v>25633</v>
      </c>
      <c r="H1176">
        <f>_xlfn.XLOOKUP(A1176,'[1]BD LP'!$B:$B,'[1]BD LP'!$AC:$AC)</f>
        <v>5</v>
      </c>
      <c r="I1176" s="5">
        <f>G1176/H1176</f>
        <v>5126.6000000000004</v>
      </c>
      <c r="J1176" s="3">
        <v>45964</v>
      </c>
      <c r="L1176" t="s">
        <v>1066</v>
      </c>
    </row>
    <row r="1177" spans="1:12" ht="72.5" x14ac:dyDescent="0.35">
      <c r="A1177">
        <v>104521960</v>
      </c>
      <c r="B1177" t="s">
        <v>506</v>
      </c>
      <c r="E1177" t="s">
        <v>584</v>
      </c>
      <c r="F1177" s="1" t="s">
        <v>1253</v>
      </c>
      <c r="G1177">
        <v>11019</v>
      </c>
      <c r="H1177">
        <f>300 * 0.008</f>
        <v>2.4</v>
      </c>
      <c r="I1177" s="5">
        <f>G1177/H1177</f>
        <v>4591.25</v>
      </c>
      <c r="J1177" s="3">
        <v>45964</v>
      </c>
      <c r="L1177" t="s">
        <v>1066</v>
      </c>
    </row>
    <row r="1178" spans="1:12" ht="72.5" x14ac:dyDescent="0.35">
      <c r="A1178">
        <v>150000367</v>
      </c>
      <c r="B1178" t="s">
        <v>512</v>
      </c>
      <c r="E1178" t="s">
        <v>584</v>
      </c>
      <c r="F1178" s="1" t="s">
        <v>1254</v>
      </c>
      <c r="G1178">
        <v>3220</v>
      </c>
      <c r="H1178">
        <v>0.85</v>
      </c>
      <c r="I1178" s="5">
        <f>G1178/H1178</f>
        <v>3788.2352941176473</v>
      </c>
      <c r="J1178" s="3">
        <v>45964</v>
      </c>
      <c r="L1178" t="s">
        <v>1066</v>
      </c>
    </row>
    <row r="1179" spans="1:12" ht="72.5" x14ac:dyDescent="0.35">
      <c r="A1179">
        <v>150000369</v>
      </c>
      <c r="B1179" t="s">
        <v>520</v>
      </c>
      <c r="E1179" t="s">
        <v>584</v>
      </c>
      <c r="F1179" s="1" t="s">
        <v>795</v>
      </c>
      <c r="G1179">
        <v>2129</v>
      </c>
      <c r="H1179">
        <v>1</v>
      </c>
      <c r="I1179" s="5">
        <f>G1179/H1179</f>
        <v>2129</v>
      </c>
      <c r="J1179" s="3">
        <v>45964</v>
      </c>
      <c r="L1179" t="s">
        <v>1066</v>
      </c>
    </row>
    <row r="1180" spans="1:12" ht="72.5" x14ac:dyDescent="0.35">
      <c r="A1180">
        <v>150001186</v>
      </c>
      <c r="B1180" t="s">
        <v>521</v>
      </c>
      <c r="E1180" t="s">
        <v>584</v>
      </c>
      <c r="F1180" s="1" t="s">
        <v>1255</v>
      </c>
      <c r="G1180">
        <v>2179</v>
      </c>
      <c r="H1180">
        <v>1</v>
      </c>
      <c r="I1180" s="5">
        <f>G1180/H1180</f>
        <v>2179</v>
      </c>
      <c r="J1180" s="3">
        <v>45964</v>
      </c>
      <c r="L1180" t="s">
        <v>1066</v>
      </c>
    </row>
    <row r="1181" spans="1:12" ht="72.5" x14ac:dyDescent="0.35">
      <c r="A1181">
        <v>150000368</v>
      </c>
      <c r="B1181" t="s">
        <v>523</v>
      </c>
      <c r="E1181" t="s">
        <v>584</v>
      </c>
      <c r="F1181" s="1" t="s">
        <v>798</v>
      </c>
      <c r="G1181">
        <v>3003</v>
      </c>
      <c r="H1181">
        <v>1</v>
      </c>
      <c r="I1181" s="5">
        <f>G1181/H1181</f>
        <v>3003</v>
      </c>
      <c r="J1181" s="3">
        <v>45964</v>
      </c>
      <c r="L1181" t="s">
        <v>1066</v>
      </c>
    </row>
    <row r="1182" spans="1:12" ht="409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1490</v>
      </c>
      <c r="H1182">
        <v>0.185</v>
      </c>
      <c r="I1182" s="5">
        <f>G1182/H1182/1.19</f>
        <v>6768.1126504655922</v>
      </c>
      <c r="J1182" s="3">
        <v>45967</v>
      </c>
      <c r="L1182" t="s">
        <v>1064</v>
      </c>
    </row>
    <row r="1183" spans="1:12" ht="101.5" x14ac:dyDescent="0.35">
      <c r="A1183">
        <v>104524840</v>
      </c>
      <c r="B1183" t="s">
        <v>290</v>
      </c>
      <c r="E1183" t="s">
        <v>535</v>
      </c>
      <c r="F1183" s="1" t="s">
        <v>1257</v>
      </c>
      <c r="G1183">
        <v>1000</v>
      </c>
      <c r="H1183">
        <v>0.185</v>
      </c>
      <c r="I1183" s="5">
        <f>G1183/H1183/1.19</f>
        <v>4542.357483533955</v>
      </c>
      <c r="J1183" s="3">
        <v>45967</v>
      </c>
      <c r="L1183" t="s">
        <v>1258</v>
      </c>
    </row>
    <row r="1184" spans="1:12" ht="72.5" x14ac:dyDescent="0.35">
      <c r="A1184">
        <v>104524840</v>
      </c>
      <c r="B1184" t="s">
        <v>290</v>
      </c>
      <c r="E1184" t="s">
        <v>584</v>
      </c>
      <c r="F1184" s="1" t="s">
        <v>1259</v>
      </c>
      <c r="G1184">
        <v>26990</v>
      </c>
      <c r="H1184">
        <f>24 * 0.185</f>
        <v>4.4399999999999995</v>
      </c>
      <c r="I1184" s="5">
        <f>G1184/H1184</f>
        <v>6078.8288288288295</v>
      </c>
      <c r="J1184" s="3">
        <v>45967</v>
      </c>
      <c r="L1184" t="s">
        <v>1066</v>
      </c>
    </row>
    <row r="1185" spans="1:12" ht="391.5" x14ac:dyDescent="0.35">
      <c r="A1185">
        <v>104523750</v>
      </c>
      <c r="B1185" t="s">
        <v>291</v>
      </c>
      <c r="E1185" t="s">
        <v>535</v>
      </c>
      <c r="F1185" s="1" t="s">
        <v>1260</v>
      </c>
      <c r="G1185">
        <v>790</v>
      </c>
      <c r="H1185">
        <v>0.09</v>
      </c>
      <c r="I1185" s="5">
        <f>G1185/H1185/1.19</f>
        <v>7376.283846872082</v>
      </c>
      <c r="J1185" s="3">
        <v>45967</v>
      </c>
      <c r="L1185" t="s">
        <v>1064</v>
      </c>
    </row>
    <row r="1186" spans="1:12" ht="72.5" x14ac:dyDescent="0.35">
      <c r="A1186">
        <v>104523750</v>
      </c>
      <c r="B1186" t="s">
        <v>291</v>
      </c>
      <c r="E1186" t="s">
        <v>584</v>
      </c>
      <c r="F1186" s="1" t="s">
        <v>1261</v>
      </c>
      <c r="G1186">
        <v>23443</v>
      </c>
      <c r="H1186">
        <f>50 * 0.1</f>
        <v>5</v>
      </c>
      <c r="I1186" s="5">
        <f>G1186/H1186</f>
        <v>4688.6000000000004</v>
      </c>
      <c r="J1186" s="3">
        <v>45967</v>
      </c>
      <c r="L1186" t="s">
        <v>1066</v>
      </c>
    </row>
  </sheetData>
  <autoFilter ref="A1:L1186" xr:uid="{D507D2F6-219C-44EE-8F13-68F6A84834B5}"/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2025-11-10T12:39:08Z</dcterms:modified>
</cp:coreProperties>
</file>